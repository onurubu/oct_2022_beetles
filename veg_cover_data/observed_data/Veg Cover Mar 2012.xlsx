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0" yWindow="60" windowWidth="9405" windowHeight="11130" firstSheet="4" activeTab="17"/>
  </bookViews>
  <sheets>
    <sheet name="METADATA" sheetId="18" r:id="rId1"/>
    <sheet name="Lambert's Bay" sheetId="1" r:id="rId2"/>
    <sheet name="200 m" sheetId="2" r:id="rId3"/>
    <sheet name="300 m" sheetId="17" r:id="rId4"/>
    <sheet name="500 m" sheetId="16" r:id="rId5"/>
    <sheet name="700 m" sheetId="15" r:id="rId6"/>
    <sheet name="900 m" sheetId="14" r:id="rId7"/>
    <sheet name="1100 m" sheetId="13" r:id="rId8"/>
    <sheet name="1300 m" sheetId="12" r:id="rId9"/>
    <sheet name="1500 m" sheetId="11" r:id="rId10"/>
    <sheet name="1700 m" sheetId="10" r:id="rId11"/>
    <sheet name="Sneeukop" sheetId="9" r:id="rId12"/>
    <sheet name="1700 m east" sheetId="8" r:id="rId13"/>
    <sheet name="1500 m east" sheetId="7" r:id="rId14"/>
    <sheet name="1300 m east" sheetId="6" r:id="rId15"/>
    <sheet name="1100 m east" sheetId="5" r:id="rId16"/>
    <sheet name="900 m east" sheetId="4" r:id="rId17"/>
    <sheet name="Wupperthal" sheetId="3" r:id="rId18"/>
  </sheets>
  <calcPr calcId="145621"/>
</workbook>
</file>

<file path=xl/calcChain.xml><?xml version="1.0" encoding="utf-8"?>
<calcChain xmlns="http://schemas.openxmlformats.org/spreadsheetml/2006/main">
  <c r="AJ9" i="10" l="1"/>
  <c r="AD9" i="10"/>
  <c r="K6" i="3" l="1"/>
  <c r="L3" i="3"/>
  <c r="L4" i="3"/>
  <c r="L5" i="3"/>
  <c r="L5" i="17"/>
  <c r="L6" i="17"/>
  <c r="L7" i="17"/>
  <c r="L8" i="17"/>
  <c r="L5" i="16"/>
  <c r="L6" i="16"/>
  <c r="L7" i="16"/>
  <c r="L8" i="16"/>
  <c r="L5" i="15"/>
  <c r="L6" i="15"/>
  <c r="L7" i="15"/>
  <c r="L8" i="15"/>
  <c r="L5" i="14"/>
  <c r="L6" i="14"/>
  <c r="L7" i="14"/>
  <c r="L8" i="14"/>
  <c r="L5" i="13"/>
  <c r="L6" i="13"/>
  <c r="L7" i="13"/>
  <c r="L8" i="13"/>
  <c r="L5" i="12"/>
  <c r="L6" i="12"/>
  <c r="L7" i="12"/>
  <c r="L8" i="12"/>
  <c r="L5" i="11"/>
  <c r="L6" i="11"/>
  <c r="L7" i="11"/>
  <c r="L8" i="11"/>
  <c r="L5" i="10"/>
  <c r="L6" i="10"/>
  <c r="L7" i="10"/>
  <c r="L8" i="10"/>
  <c r="L5" i="9"/>
  <c r="L6" i="9"/>
  <c r="L7" i="9"/>
  <c r="L8" i="9"/>
  <c r="L5" i="8"/>
  <c r="L6" i="8"/>
  <c r="L7" i="8"/>
  <c r="L8" i="8"/>
  <c r="L5" i="7"/>
  <c r="L6" i="7"/>
  <c r="L7" i="7"/>
  <c r="L8" i="7"/>
  <c r="L5" i="6"/>
  <c r="L6" i="6"/>
  <c r="L7" i="6"/>
  <c r="L8" i="6"/>
  <c r="L5" i="5"/>
  <c r="L6" i="5"/>
  <c r="L7" i="5"/>
  <c r="L8" i="5"/>
  <c r="L5" i="4"/>
  <c r="L6" i="4"/>
  <c r="L7" i="4"/>
  <c r="L8" i="4"/>
  <c r="L5" i="2"/>
  <c r="L6" i="2"/>
  <c r="L7" i="2"/>
  <c r="L8" i="2"/>
  <c r="AR9" i="16" l="1"/>
  <c r="AQ9" i="16"/>
  <c r="AP9" i="16"/>
  <c r="AO9" i="16"/>
  <c r="AN9" i="16"/>
  <c r="AM9" i="16"/>
  <c r="AL9" i="16"/>
  <c r="AK9" i="16"/>
  <c r="AJ9" i="16"/>
  <c r="AI9" i="16"/>
  <c r="AG9" i="16"/>
  <c r="AF9" i="16"/>
  <c r="AE9" i="16"/>
  <c r="AD9" i="16"/>
  <c r="AC9" i="16"/>
  <c r="AB9" i="16"/>
  <c r="AA9" i="16"/>
  <c r="Z9" i="16"/>
  <c r="Y9" i="16"/>
  <c r="X9" i="16"/>
  <c r="V9" i="16"/>
  <c r="U9" i="16"/>
  <c r="T9" i="16"/>
  <c r="S9" i="16"/>
  <c r="R9" i="16"/>
  <c r="Q9" i="16"/>
  <c r="P9" i="16"/>
  <c r="O9" i="16"/>
  <c r="N9" i="16"/>
  <c r="M9" i="16"/>
  <c r="K9" i="16"/>
  <c r="J9" i="16"/>
  <c r="I9" i="16"/>
  <c r="H9" i="16"/>
  <c r="G9" i="16"/>
  <c r="F9" i="16"/>
  <c r="E9" i="16"/>
  <c r="D9" i="16"/>
  <c r="C9" i="16"/>
  <c r="B9" i="16"/>
  <c r="AR9" i="17"/>
  <c r="AQ9" i="17"/>
  <c r="AP9" i="17"/>
  <c r="AO9" i="17"/>
  <c r="AN9" i="17"/>
  <c r="AM9" i="17"/>
  <c r="AL9" i="17"/>
  <c r="AK9" i="17"/>
  <c r="AJ9" i="17"/>
  <c r="AI9" i="17"/>
  <c r="AG9" i="17"/>
  <c r="AF9" i="17"/>
  <c r="AE9" i="17"/>
  <c r="AD9" i="17"/>
  <c r="AC9" i="17"/>
  <c r="AB9" i="17"/>
  <c r="AA9" i="17"/>
  <c r="Z9" i="17"/>
  <c r="Y9" i="17"/>
  <c r="X9" i="17"/>
  <c r="V9" i="17"/>
  <c r="U9" i="17"/>
  <c r="T9" i="17"/>
  <c r="S9" i="17"/>
  <c r="R9" i="17"/>
  <c r="Q9" i="17"/>
  <c r="P9" i="17"/>
  <c r="O9" i="17"/>
  <c r="N9" i="17"/>
  <c r="M9" i="17"/>
  <c r="K9" i="17"/>
  <c r="J9" i="17"/>
  <c r="I9" i="17"/>
  <c r="H9" i="17"/>
  <c r="G9" i="17"/>
  <c r="F9" i="17"/>
  <c r="E9" i="17"/>
  <c r="D9" i="17"/>
  <c r="C9" i="17"/>
  <c r="B9" i="17"/>
  <c r="AR9" i="2"/>
  <c r="AQ9" i="2"/>
  <c r="AP9" i="2"/>
  <c r="AO9" i="2"/>
  <c r="AN9" i="2"/>
  <c r="AM9" i="2"/>
  <c r="AL9" i="2"/>
  <c r="AK9" i="2"/>
  <c r="AJ9" i="2"/>
  <c r="AI9" i="2"/>
  <c r="AD9" i="2"/>
  <c r="AC9" i="2"/>
  <c r="AB9" i="2"/>
  <c r="AA9" i="2"/>
  <c r="Z9" i="2"/>
  <c r="Y9" i="2"/>
  <c r="X9" i="2"/>
  <c r="V9" i="2"/>
  <c r="U9" i="2"/>
  <c r="T9" i="2"/>
  <c r="S9" i="2"/>
  <c r="R9" i="2"/>
  <c r="Q9" i="2"/>
  <c r="P9" i="2"/>
  <c r="O9" i="2"/>
  <c r="N9" i="2"/>
  <c r="M9" i="2"/>
  <c r="K9" i="2"/>
  <c r="J9" i="2"/>
  <c r="I9" i="2"/>
  <c r="H9" i="2"/>
  <c r="G9" i="2"/>
  <c r="F9" i="2"/>
  <c r="E9" i="2"/>
  <c r="D9" i="2"/>
  <c r="C9" i="2"/>
  <c r="B9" i="2"/>
  <c r="AG9" i="2"/>
  <c r="AF9" i="2"/>
  <c r="AE9" i="2"/>
  <c r="AR6" i="1"/>
  <c r="AQ6" i="1"/>
  <c r="AP6" i="1"/>
  <c r="AO6" i="1"/>
  <c r="AN6" i="1"/>
  <c r="AM6" i="1"/>
  <c r="AL6" i="1"/>
  <c r="AK6" i="1"/>
  <c r="AJ6" i="1"/>
  <c r="AI6" i="1"/>
  <c r="AG6" i="1"/>
  <c r="AF6" i="1"/>
  <c r="AE6" i="1"/>
  <c r="AD6" i="1"/>
  <c r="AC6" i="1"/>
  <c r="AB6" i="1"/>
  <c r="AA6" i="1"/>
  <c r="Z6" i="1"/>
  <c r="Y6" i="1"/>
  <c r="X6" i="1"/>
  <c r="V6" i="1"/>
  <c r="U6" i="1"/>
  <c r="T6" i="1"/>
  <c r="S6" i="1"/>
  <c r="R6" i="1"/>
  <c r="Q6" i="1"/>
  <c r="P6" i="1"/>
  <c r="O6" i="1"/>
  <c r="N6" i="1"/>
  <c r="M6" i="1"/>
  <c r="K6" i="1"/>
  <c r="J6" i="1"/>
  <c r="I6" i="1"/>
  <c r="H6" i="1"/>
  <c r="G6" i="1"/>
  <c r="F6" i="1"/>
  <c r="E6" i="1"/>
  <c r="D6" i="1"/>
  <c r="C6" i="1"/>
  <c r="B6" i="1"/>
  <c r="AP6" i="3"/>
  <c r="X9" i="4"/>
  <c r="O9" i="6"/>
  <c r="AK9" i="8"/>
  <c r="G9" i="8"/>
  <c r="W2" i="11"/>
  <c r="AH2" i="13"/>
  <c r="AH3" i="13"/>
  <c r="AH4" i="13"/>
  <c r="AH5" i="13"/>
  <c r="AH6" i="13"/>
  <c r="AH7" i="13"/>
  <c r="Q9" i="13"/>
  <c r="B9" i="15"/>
  <c r="AS6" i="6"/>
  <c r="AS2" i="6"/>
  <c r="AS5" i="8"/>
  <c r="L2" i="11"/>
  <c r="V9" i="15"/>
  <c r="U9" i="15"/>
  <c r="T9" i="15"/>
  <c r="S9" i="15"/>
  <c r="R9" i="15"/>
  <c r="Q9" i="15"/>
  <c r="P9" i="15"/>
  <c r="O9" i="15"/>
  <c r="N9" i="15"/>
  <c r="M9" i="15"/>
  <c r="K9" i="15"/>
  <c r="J9" i="15"/>
  <c r="I9" i="15"/>
  <c r="H9" i="15"/>
  <c r="G9" i="15"/>
  <c r="F9" i="15"/>
  <c r="E9" i="15"/>
  <c r="D9" i="15"/>
  <c r="C9" i="15"/>
  <c r="W4" i="16"/>
  <c r="L3" i="17"/>
  <c r="AI6" i="3"/>
  <c r="AJ6" i="3"/>
  <c r="AK6" i="3"/>
  <c r="AL6" i="3"/>
  <c r="AM6" i="3"/>
  <c r="AN6" i="3"/>
  <c r="AO6" i="3"/>
  <c r="AQ6" i="3"/>
  <c r="AR6" i="3"/>
  <c r="X6" i="3"/>
  <c r="Y6" i="3"/>
  <c r="Z6" i="3"/>
  <c r="AA6" i="3"/>
  <c r="AB6" i="3"/>
  <c r="AC6" i="3"/>
  <c r="AD6" i="3"/>
  <c r="AE6" i="3"/>
  <c r="AF6" i="3"/>
  <c r="AG6" i="3"/>
  <c r="AH5" i="3"/>
  <c r="M6" i="3"/>
  <c r="N6" i="3"/>
  <c r="O6" i="3"/>
  <c r="P6" i="3"/>
  <c r="Q6" i="3"/>
  <c r="R6" i="3"/>
  <c r="S6" i="3"/>
  <c r="T6" i="3"/>
  <c r="U6" i="3"/>
  <c r="V6" i="3"/>
  <c r="W5" i="3"/>
  <c r="B6" i="3"/>
  <c r="C6" i="3"/>
  <c r="D6" i="3"/>
  <c r="E6" i="3"/>
  <c r="F6" i="3"/>
  <c r="G6" i="3"/>
  <c r="H6" i="3"/>
  <c r="I6" i="3"/>
  <c r="J6" i="3"/>
  <c r="AI9" i="4"/>
  <c r="AJ9" i="4"/>
  <c r="AK9" i="4"/>
  <c r="AL9" i="4"/>
  <c r="AM9" i="4"/>
  <c r="AN9" i="4"/>
  <c r="AO9" i="4"/>
  <c r="AP9" i="4"/>
  <c r="AQ9" i="4"/>
  <c r="AR9" i="4"/>
  <c r="AS6" i="4"/>
  <c r="AS8" i="4"/>
  <c r="AS7" i="4"/>
  <c r="Y9" i="4"/>
  <c r="Z9" i="4"/>
  <c r="AA9" i="4"/>
  <c r="AB9" i="4"/>
  <c r="AC9" i="4"/>
  <c r="AD9" i="4"/>
  <c r="AE9" i="4"/>
  <c r="AF9" i="4"/>
  <c r="AG9" i="4"/>
  <c r="AH3" i="4"/>
  <c r="AH8" i="4"/>
  <c r="AH7" i="4"/>
  <c r="AH6" i="4"/>
  <c r="M9" i="4"/>
  <c r="N9" i="4"/>
  <c r="O9" i="4"/>
  <c r="P9" i="4"/>
  <c r="Q9" i="4"/>
  <c r="R9" i="4"/>
  <c r="S9" i="4"/>
  <c r="T9" i="4"/>
  <c r="U9" i="4"/>
  <c r="V9" i="4"/>
  <c r="W8" i="4"/>
  <c r="W7" i="4"/>
  <c r="W6" i="4"/>
  <c r="B9" i="4"/>
  <c r="C9" i="4"/>
  <c r="D9" i="4"/>
  <c r="E9" i="4"/>
  <c r="F9" i="4"/>
  <c r="G9" i="4"/>
  <c r="H9" i="4"/>
  <c r="I9" i="4"/>
  <c r="J9" i="4"/>
  <c r="K9" i="4"/>
  <c r="AI9" i="5"/>
  <c r="AJ9" i="5"/>
  <c r="AK9" i="5"/>
  <c r="AL9" i="5"/>
  <c r="AM9" i="5"/>
  <c r="AN9" i="5"/>
  <c r="AO9" i="5"/>
  <c r="AP9" i="5"/>
  <c r="AQ9" i="5"/>
  <c r="AR9" i="5"/>
  <c r="X9" i="5"/>
  <c r="Y9" i="5"/>
  <c r="Z9" i="5"/>
  <c r="AA9" i="5"/>
  <c r="AB9" i="5"/>
  <c r="AC9" i="5"/>
  <c r="AD9" i="5"/>
  <c r="AE9" i="5"/>
  <c r="AF9" i="5"/>
  <c r="AG9" i="5"/>
  <c r="M9" i="5"/>
  <c r="N9" i="5"/>
  <c r="O9" i="5"/>
  <c r="P9" i="5"/>
  <c r="Q9" i="5"/>
  <c r="R9" i="5"/>
  <c r="S9" i="5"/>
  <c r="T9" i="5"/>
  <c r="U9" i="5"/>
  <c r="V9" i="5"/>
  <c r="B9" i="5"/>
  <c r="C9" i="5"/>
  <c r="D9" i="5"/>
  <c r="E9" i="5"/>
  <c r="F9" i="5"/>
  <c r="G9" i="5"/>
  <c r="H9" i="5"/>
  <c r="I9" i="5"/>
  <c r="J9" i="5"/>
  <c r="K9" i="5"/>
  <c r="AI9" i="6"/>
  <c r="AJ9" i="6"/>
  <c r="AK9" i="6"/>
  <c r="AL9" i="6"/>
  <c r="AM9" i="6"/>
  <c r="AN9" i="6"/>
  <c r="AO9" i="6"/>
  <c r="AP9" i="6"/>
  <c r="AQ9" i="6"/>
  <c r="AR9" i="6"/>
  <c r="X9" i="6"/>
  <c r="Y9" i="6"/>
  <c r="Z9" i="6"/>
  <c r="AA9" i="6"/>
  <c r="AB9" i="6"/>
  <c r="AC9" i="6"/>
  <c r="AD9" i="6"/>
  <c r="AE9" i="6"/>
  <c r="AF9" i="6"/>
  <c r="AG9" i="6"/>
  <c r="M9" i="6"/>
  <c r="N9" i="6"/>
  <c r="P9" i="6"/>
  <c r="Q9" i="6"/>
  <c r="R9" i="6"/>
  <c r="S9" i="6"/>
  <c r="T9" i="6"/>
  <c r="U9" i="6"/>
  <c r="V9" i="6"/>
  <c r="W7" i="6"/>
  <c r="B9" i="6"/>
  <c r="C9" i="6"/>
  <c r="D9" i="6"/>
  <c r="E9" i="6"/>
  <c r="F9" i="6"/>
  <c r="G9" i="6"/>
  <c r="H9" i="6"/>
  <c r="I9" i="6"/>
  <c r="J9" i="6"/>
  <c r="K9" i="6"/>
  <c r="AI9" i="7"/>
  <c r="AJ9" i="7"/>
  <c r="AK9" i="7"/>
  <c r="AL9" i="7"/>
  <c r="AM9" i="7"/>
  <c r="AN9" i="7"/>
  <c r="AO9" i="7"/>
  <c r="AP9" i="7"/>
  <c r="AQ9" i="7"/>
  <c r="AR9" i="7"/>
  <c r="AS6" i="7"/>
  <c r="AS7" i="7"/>
  <c r="AS8" i="7"/>
  <c r="X9" i="7"/>
  <c r="Y9" i="7"/>
  <c r="Z9" i="7"/>
  <c r="AA9" i="7"/>
  <c r="AB9" i="7"/>
  <c r="AC9" i="7"/>
  <c r="AD9" i="7"/>
  <c r="AE9" i="7"/>
  <c r="AF9" i="7"/>
  <c r="AG9" i="7"/>
  <c r="AH6" i="7"/>
  <c r="AH7" i="7"/>
  <c r="AH8" i="7"/>
  <c r="M9" i="7"/>
  <c r="N9" i="7"/>
  <c r="O9" i="7"/>
  <c r="P9" i="7"/>
  <c r="Q9" i="7"/>
  <c r="R9" i="7"/>
  <c r="S9" i="7"/>
  <c r="T9" i="7"/>
  <c r="U9" i="7"/>
  <c r="V9" i="7"/>
  <c r="W8" i="7"/>
  <c r="W7" i="7"/>
  <c r="W6" i="7"/>
  <c r="B9" i="7"/>
  <c r="C9" i="7"/>
  <c r="D9" i="7"/>
  <c r="E9" i="7"/>
  <c r="F9" i="7"/>
  <c r="G9" i="7"/>
  <c r="H9" i="7"/>
  <c r="I9" i="7"/>
  <c r="J9" i="7"/>
  <c r="K9" i="7"/>
  <c r="AI9" i="8"/>
  <c r="AJ9" i="8"/>
  <c r="AL9" i="8"/>
  <c r="AM9" i="8"/>
  <c r="AN9" i="8"/>
  <c r="AO9" i="8"/>
  <c r="AP9" i="8"/>
  <c r="AQ9" i="8"/>
  <c r="AR9" i="8"/>
  <c r="AS8" i="8"/>
  <c r="X9" i="8"/>
  <c r="Y9" i="8"/>
  <c r="Z9" i="8"/>
  <c r="AA9" i="8"/>
  <c r="AB9" i="8"/>
  <c r="AC9" i="8"/>
  <c r="AD9" i="8"/>
  <c r="AE9" i="8"/>
  <c r="AF9" i="8"/>
  <c r="AG9" i="8"/>
  <c r="B9" i="8"/>
  <c r="C9" i="8"/>
  <c r="D9" i="8"/>
  <c r="E9" i="8"/>
  <c r="F9" i="8"/>
  <c r="H9" i="8"/>
  <c r="I9" i="8"/>
  <c r="J9" i="8"/>
  <c r="K9" i="8"/>
  <c r="M9" i="8"/>
  <c r="N9" i="8"/>
  <c r="O9" i="8"/>
  <c r="P9" i="8"/>
  <c r="Q9" i="8"/>
  <c r="R9" i="8"/>
  <c r="S9" i="8"/>
  <c r="T9" i="8"/>
  <c r="U9" i="8"/>
  <c r="V9" i="8"/>
  <c r="W6" i="8"/>
  <c r="W7" i="8"/>
  <c r="W8" i="8"/>
  <c r="W2" i="8"/>
  <c r="W3" i="8"/>
  <c r="W4" i="8"/>
  <c r="W5" i="8"/>
  <c r="AS6" i="5"/>
  <c r="AS7" i="5"/>
  <c r="AS8" i="5"/>
  <c r="AH6" i="5"/>
  <c r="AH7" i="5"/>
  <c r="AH8" i="5"/>
  <c r="W8" i="5"/>
  <c r="W6" i="5"/>
  <c r="W7" i="5"/>
  <c r="AS7" i="6"/>
  <c r="AS8" i="6"/>
  <c r="AH6" i="6"/>
  <c r="AH7" i="6"/>
  <c r="AH8" i="6"/>
  <c r="W6" i="6"/>
  <c r="W8" i="6"/>
  <c r="AI9" i="9"/>
  <c r="AJ9" i="9"/>
  <c r="AK9" i="9"/>
  <c r="AL9" i="9"/>
  <c r="AM9" i="9"/>
  <c r="AN9" i="9"/>
  <c r="AO9" i="9"/>
  <c r="AP9" i="9"/>
  <c r="AQ9" i="9"/>
  <c r="AR9" i="9"/>
  <c r="AS5" i="9"/>
  <c r="AS6" i="9"/>
  <c r="AS7" i="9"/>
  <c r="AS8" i="9"/>
  <c r="X9" i="9"/>
  <c r="Y9" i="9"/>
  <c r="Z9" i="9"/>
  <c r="AA9" i="9"/>
  <c r="AB9" i="9"/>
  <c r="AC9" i="9"/>
  <c r="AD9" i="9"/>
  <c r="AE9" i="9"/>
  <c r="AF9" i="9"/>
  <c r="AG9" i="9"/>
  <c r="AH6" i="9"/>
  <c r="AH7" i="9"/>
  <c r="AH8" i="9"/>
  <c r="M9" i="9"/>
  <c r="N9" i="9"/>
  <c r="O9" i="9"/>
  <c r="P9" i="9"/>
  <c r="Q9" i="9"/>
  <c r="R9" i="9"/>
  <c r="S9" i="9"/>
  <c r="T9" i="9"/>
  <c r="U9" i="9"/>
  <c r="V9" i="9"/>
  <c r="W8" i="9"/>
  <c r="W7" i="9"/>
  <c r="W6" i="9"/>
  <c r="B9" i="9"/>
  <c r="C9" i="9"/>
  <c r="D9" i="9"/>
  <c r="E9" i="9"/>
  <c r="F9" i="9"/>
  <c r="G9" i="9"/>
  <c r="H9" i="9"/>
  <c r="I9" i="9"/>
  <c r="J9" i="9"/>
  <c r="K9" i="9"/>
  <c r="AI9" i="10"/>
  <c r="AK9" i="10"/>
  <c r="AL9" i="10"/>
  <c r="AM9" i="10"/>
  <c r="AN9" i="10"/>
  <c r="AO9" i="10"/>
  <c r="AP9" i="10"/>
  <c r="AQ9" i="10"/>
  <c r="AR9" i="10"/>
  <c r="AS8" i="10"/>
  <c r="AS7" i="10"/>
  <c r="AS6" i="10"/>
  <c r="X9" i="10"/>
  <c r="Y9" i="10"/>
  <c r="Z9" i="10"/>
  <c r="AA9" i="10"/>
  <c r="AB9" i="10"/>
  <c r="AC9" i="10"/>
  <c r="AE9" i="10"/>
  <c r="AF9" i="10"/>
  <c r="AG9" i="10"/>
  <c r="AH8" i="10"/>
  <c r="AH7" i="10"/>
  <c r="AH6" i="10"/>
  <c r="M9" i="10"/>
  <c r="N9" i="10"/>
  <c r="O9" i="10"/>
  <c r="P9" i="10"/>
  <c r="Q9" i="10"/>
  <c r="R9" i="10"/>
  <c r="S9" i="10"/>
  <c r="T9" i="10"/>
  <c r="U9" i="10"/>
  <c r="V9" i="10"/>
  <c r="W6" i="10"/>
  <c r="W7" i="10"/>
  <c r="W8" i="10"/>
  <c r="B9" i="10"/>
  <c r="C9" i="10"/>
  <c r="D9" i="10"/>
  <c r="E9" i="10"/>
  <c r="F9" i="10"/>
  <c r="G9" i="10"/>
  <c r="H9" i="10"/>
  <c r="I9" i="10"/>
  <c r="J9" i="10"/>
  <c r="K9" i="10"/>
  <c r="AI9" i="11"/>
  <c r="AJ9" i="11"/>
  <c r="AK9" i="11"/>
  <c r="AL9" i="11"/>
  <c r="AM9" i="11"/>
  <c r="AN9" i="11"/>
  <c r="AO9" i="11"/>
  <c r="AP9" i="11"/>
  <c r="AQ9" i="11"/>
  <c r="AR9" i="11"/>
  <c r="X9" i="11"/>
  <c r="Y9" i="11"/>
  <c r="Z9" i="11"/>
  <c r="AA9" i="11"/>
  <c r="AB9" i="11"/>
  <c r="AC9" i="11"/>
  <c r="AD9" i="11"/>
  <c r="AE9" i="11"/>
  <c r="AF9" i="11"/>
  <c r="AG9" i="11"/>
  <c r="M9" i="11"/>
  <c r="N9" i="11"/>
  <c r="O9" i="11"/>
  <c r="P9" i="11"/>
  <c r="Q9" i="11"/>
  <c r="R9" i="11"/>
  <c r="S9" i="11"/>
  <c r="T9" i="11"/>
  <c r="U9" i="11"/>
  <c r="V9" i="11"/>
  <c r="B9" i="11"/>
  <c r="C9" i="11"/>
  <c r="D9" i="11"/>
  <c r="E9" i="11"/>
  <c r="F9" i="11"/>
  <c r="G9" i="11"/>
  <c r="H9" i="11"/>
  <c r="I9" i="11"/>
  <c r="J9" i="11"/>
  <c r="K9" i="11"/>
  <c r="AI9" i="12"/>
  <c r="AJ9" i="12"/>
  <c r="AK9" i="12"/>
  <c r="AL9" i="12"/>
  <c r="AM9" i="12"/>
  <c r="AN9" i="12"/>
  <c r="AO9" i="12"/>
  <c r="AP9" i="12"/>
  <c r="AQ9" i="12"/>
  <c r="AR9" i="12"/>
  <c r="AS2" i="12"/>
  <c r="X9" i="12"/>
  <c r="Y9" i="12"/>
  <c r="Z9" i="12"/>
  <c r="AA9" i="12"/>
  <c r="AB9" i="12"/>
  <c r="AC9" i="12"/>
  <c r="AD9" i="12"/>
  <c r="AE9" i="12"/>
  <c r="AF9" i="12"/>
  <c r="AG9" i="12"/>
  <c r="M9" i="12"/>
  <c r="N9" i="12"/>
  <c r="O9" i="12"/>
  <c r="P9" i="12"/>
  <c r="Q9" i="12"/>
  <c r="R9" i="12"/>
  <c r="S9" i="12"/>
  <c r="T9" i="12"/>
  <c r="U9" i="12"/>
  <c r="V9" i="12"/>
  <c r="W3" i="12"/>
  <c r="W8" i="12"/>
  <c r="B9" i="12"/>
  <c r="C9" i="12"/>
  <c r="D9" i="12"/>
  <c r="E9" i="12"/>
  <c r="F9" i="12"/>
  <c r="G9" i="12"/>
  <c r="H9" i="12"/>
  <c r="I9" i="12"/>
  <c r="J9" i="12"/>
  <c r="K9" i="12"/>
  <c r="AI9" i="13"/>
  <c r="AJ9" i="13"/>
  <c r="AK9" i="13"/>
  <c r="AL9" i="13"/>
  <c r="AM9" i="13"/>
  <c r="AN9" i="13"/>
  <c r="AO9" i="13"/>
  <c r="AP9" i="13"/>
  <c r="AQ9" i="13"/>
  <c r="AR9" i="13"/>
  <c r="X9" i="13"/>
  <c r="Y9" i="13"/>
  <c r="Z9" i="13"/>
  <c r="AA9" i="13"/>
  <c r="AB9" i="13"/>
  <c r="AC9" i="13"/>
  <c r="AD9" i="13"/>
  <c r="AE9" i="13"/>
  <c r="AF9" i="13"/>
  <c r="AG9" i="13"/>
  <c r="T9" i="13"/>
  <c r="U9" i="13"/>
  <c r="V9" i="13"/>
  <c r="R9" i="13"/>
  <c r="S9" i="13"/>
  <c r="M9" i="13"/>
  <c r="N9" i="13"/>
  <c r="O9" i="13"/>
  <c r="P9" i="13"/>
  <c r="B9" i="13"/>
  <c r="C9" i="13"/>
  <c r="D9" i="13"/>
  <c r="E9" i="13"/>
  <c r="F9" i="13"/>
  <c r="G9" i="13"/>
  <c r="H9" i="13"/>
  <c r="I9" i="13"/>
  <c r="J9" i="13"/>
  <c r="K9" i="13"/>
  <c r="AI9" i="14"/>
  <c r="AJ9" i="14"/>
  <c r="AK9" i="14"/>
  <c r="AL9" i="14"/>
  <c r="AM9" i="14"/>
  <c r="AN9" i="14"/>
  <c r="AO9" i="14"/>
  <c r="AP9" i="14"/>
  <c r="AQ9" i="14"/>
  <c r="AR9" i="14"/>
  <c r="AS2" i="14"/>
  <c r="AS3" i="14"/>
  <c r="AS8" i="14"/>
  <c r="AE9" i="14"/>
  <c r="AF9" i="14"/>
  <c r="AG9" i="14"/>
  <c r="X9" i="14"/>
  <c r="Y9" i="14"/>
  <c r="Z9" i="14"/>
  <c r="AA9" i="14"/>
  <c r="AB9" i="14"/>
  <c r="AC9" i="14"/>
  <c r="AD9" i="14"/>
  <c r="AH8" i="14"/>
  <c r="M9" i="14"/>
  <c r="N9" i="14"/>
  <c r="O9" i="14"/>
  <c r="P9" i="14"/>
  <c r="Q9" i="14"/>
  <c r="R9" i="14"/>
  <c r="S9" i="14"/>
  <c r="T9" i="14"/>
  <c r="U9" i="14"/>
  <c r="V9" i="14"/>
  <c r="W8" i="14"/>
  <c r="K9" i="14"/>
  <c r="I9" i="14"/>
  <c r="J9" i="14"/>
  <c r="C9" i="14"/>
  <c r="D9" i="14"/>
  <c r="E9" i="14"/>
  <c r="F9" i="14"/>
  <c r="G9" i="14"/>
  <c r="H9" i="14"/>
  <c r="B9" i="14"/>
  <c r="L2" i="14"/>
  <c r="L3" i="14"/>
  <c r="L4" i="14"/>
  <c r="AP9" i="15"/>
  <c r="AQ9" i="15"/>
  <c r="AR9" i="15"/>
  <c r="AI9" i="15"/>
  <c r="AJ9" i="15"/>
  <c r="AK9" i="15"/>
  <c r="AL9" i="15"/>
  <c r="AM9" i="15"/>
  <c r="AN9" i="15"/>
  <c r="AO9" i="15"/>
  <c r="X9" i="15"/>
  <c r="Y9" i="15"/>
  <c r="Z9" i="15"/>
  <c r="AA9" i="15"/>
  <c r="AB9" i="15"/>
  <c r="AC9" i="15"/>
  <c r="AD9" i="15"/>
  <c r="AE9" i="15"/>
  <c r="AF9" i="15"/>
  <c r="AG9" i="15"/>
  <c r="AH8" i="15"/>
  <c r="AS6" i="8"/>
  <c r="AS7" i="8"/>
  <c r="AH6" i="8"/>
  <c r="AH7" i="8"/>
  <c r="AH8" i="8"/>
  <c r="AS6" i="11"/>
  <c r="AS7" i="11"/>
  <c r="AS8" i="11"/>
  <c r="AH6" i="11"/>
  <c r="AH7" i="11"/>
  <c r="AH8" i="11"/>
  <c r="W6" i="11"/>
  <c r="W7" i="11"/>
  <c r="W8" i="11"/>
  <c r="AS6" i="12"/>
  <c r="AS7" i="12"/>
  <c r="AS8" i="12"/>
  <c r="AH6" i="12"/>
  <c r="AH7" i="12"/>
  <c r="AH8" i="12"/>
  <c r="W6" i="12"/>
  <c r="W7" i="12"/>
  <c r="AS8" i="13"/>
  <c r="AS6" i="13"/>
  <c r="AS7" i="13"/>
  <c r="AH8" i="13"/>
  <c r="W6" i="13"/>
  <c r="W7" i="13"/>
  <c r="W8" i="13"/>
  <c r="AS6" i="14"/>
  <c r="AS7" i="14"/>
  <c r="AH6" i="14"/>
  <c r="AH7" i="14"/>
  <c r="W6" i="14"/>
  <c r="W7" i="14"/>
  <c r="AS8" i="15"/>
  <c r="AS6" i="15"/>
  <c r="AS7" i="15"/>
  <c r="AH6" i="15"/>
  <c r="AH7" i="15"/>
  <c r="W6" i="15"/>
  <c r="W7" i="15"/>
  <c r="W8" i="15"/>
  <c r="AS6" i="16"/>
  <c r="AS2" i="16"/>
  <c r="AS3" i="16"/>
  <c r="AS4" i="16"/>
  <c r="AS5" i="16"/>
  <c r="AS7" i="16"/>
  <c r="AS8" i="16"/>
  <c r="AH8" i="16"/>
  <c r="AH2" i="16"/>
  <c r="AH3" i="16"/>
  <c r="AH4" i="16"/>
  <c r="AH5" i="16"/>
  <c r="AH6" i="16"/>
  <c r="AH7" i="16"/>
  <c r="W2" i="16"/>
  <c r="W3" i="16"/>
  <c r="W5" i="16"/>
  <c r="W6" i="16"/>
  <c r="W7" i="16"/>
  <c r="W8" i="16"/>
  <c r="L2" i="16"/>
  <c r="L3" i="16"/>
  <c r="L4" i="16"/>
  <c r="AS7" i="17"/>
  <c r="AS6" i="17"/>
  <c r="AS2" i="17"/>
  <c r="AS3" i="17"/>
  <c r="AS4" i="17"/>
  <c r="AS5" i="17"/>
  <c r="AS8" i="17"/>
  <c r="AH6" i="17"/>
  <c r="AH2" i="17"/>
  <c r="AH3" i="17"/>
  <c r="AH4" i="17"/>
  <c r="AH5" i="17"/>
  <c r="AH7" i="17"/>
  <c r="AH8" i="17"/>
  <c r="W2" i="17"/>
  <c r="W3" i="17"/>
  <c r="W4" i="17"/>
  <c r="W5" i="17"/>
  <c r="W6" i="17"/>
  <c r="W7" i="17"/>
  <c r="W8" i="17"/>
  <c r="L2" i="17"/>
  <c r="L4" i="17"/>
  <c r="AS2" i="2"/>
  <c r="AS3" i="2"/>
  <c r="AS4" i="2"/>
  <c r="AS5" i="2"/>
  <c r="AS6" i="2"/>
  <c r="AS7" i="2"/>
  <c r="AS8" i="2"/>
  <c r="AH2" i="2"/>
  <c r="AH3" i="2"/>
  <c r="AH4" i="2"/>
  <c r="AH5" i="2"/>
  <c r="AH6" i="2"/>
  <c r="AH7" i="2"/>
  <c r="AH8" i="2"/>
  <c r="W2" i="2"/>
  <c r="W3" i="2"/>
  <c r="W4" i="2"/>
  <c r="W5" i="2"/>
  <c r="W6" i="2"/>
  <c r="W7" i="2"/>
  <c r="W8" i="2"/>
  <c r="L2" i="2"/>
  <c r="L3" i="2"/>
  <c r="L4" i="2"/>
  <c r="AS2" i="1"/>
  <c r="AS3" i="1"/>
  <c r="AS4" i="1"/>
  <c r="AS5" i="1"/>
  <c r="AH5" i="1"/>
  <c r="AH2" i="1"/>
  <c r="AH3" i="1"/>
  <c r="AH4" i="1"/>
  <c r="W2" i="1"/>
  <c r="W3" i="1"/>
  <c r="W4" i="1"/>
  <c r="W5" i="1"/>
  <c r="L2" i="1"/>
  <c r="L3" i="1"/>
  <c r="L4" i="1"/>
  <c r="L5" i="1"/>
  <c r="AS2" i="3"/>
  <c r="L2" i="3"/>
  <c r="L6" i="3" s="1"/>
  <c r="AS5" i="3"/>
  <c r="AS4" i="3"/>
  <c r="AS3" i="3"/>
  <c r="AH4" i="3"/>
  <c r="AH3" i="3"/>
  <c r="AH2" i="3"/>
  <c r="W4" i="3"/>
  <c r="W3" i="3"/>
  <c r="W2" i="3"/>
  <c r="AS5" i="4"/>
  <c r="AS4" i="4"/>
  <c r="AS3" i="4"/>
  <c r="AS2" i="4"/>
  <c r="AH5" i="4"/>
  <c r="AH4" i="4"/>
  <c r="AH2" i="4"/>
  <c r="W5" i="4"/>
  <c r="W4" i="4"/>
  <c r="W3" i="4"/>
  <c r="W2" i="4"/>
  <c r="L3" i="4"/>
  <c r="L4" i="4"/>
  <c r="L2" i="4"/>
  <c r="AS5" i="5"/>
  <c r="AS4" i="5"/>
  <c r="AS3" i="5"/>
  <c r="AS2" i="5"/>
  <c r="AH5" i="5"/>
  <c r="AH4" i="5"/>
  <c r="AH3" i="5"/>
  <c r="AH2" i="5"/>
  <c r="W5" i="5"/>
  <c r="W4" i="5"/>
  <c r="W3" i="5"/>
  <c r="W2" i="5"/>
  <c r="L3" i="5"/>
  <c r="L4" i="5"/>
  <c r="L2" i="5"/>
  <c r="AS5" i="6"/>
  <c r="AS4" i="6"/>
  <c r="AS3" i="6"/>
  <c r="AH5" i="6"/>
  <c r="AH4" i="6"/>
  <c r="AH3" i="6"/>
  <c r="AH2" i="6"/>
  <c r="W5" i="6"/>
  <c r="W4" i="6"/>
  <c r="W3" i="6"/>
  <c r="W2" i="6"/>
  <c r="L3" i="6"/>
  <c r="L4" i="6"/>
  <c r="L2" i="6"/>
  <c r="AS2" i="7"/>
  <c r="AH2" i="7"/>
  <c r="L2" i="7"/>
  <c r="AS5" i="7"/>
  <c r="AS4" i="7"/>
  <c r="AS3" i="7"/>
  <c r="AH5" i="7"/>
  <c r="AH4" i="7"/>
  <c r="AH3" i="7"/>
  <c r="W5" i="7"/>
  <c r="W4" i="7"/>
  <c r="W3" i="7"/>
  <c r="W2" i="7"/>
  <c r="L3" i="7"/>
  <c r="L4" i="7"/>
  <c r="AS4" i="8"/>
  <c r="AS3" i="8"/>
  <c r="AS2" i="8"/>
  <c r="AH5" i="8"/>
  <c r="AH4" i="8"/>
  <c r="AH3" i="8"/>
  <c r="AH2" i="8"/>
  <c r="AS4" i="9"/>
  <c r="AS3" i="9"/>
  <c r="AS2" i="9"/>
  <c r="AH5" i="9"/>
  <c r="AH4" i="9"/>
  <c r="AH3" i="9"/>
  <c r="AH2" i="9"/>
  <c r="W5" i="9"/>
  <c r="W4" i="9"/>
  <c r="W3" i="9"/>
  <c r="W2" i="9"/>
  <c r="AS2" i="10"/>
  <c r="AS5" i="10"/>
  <c r="AS4" i="10"/>
  <c r="AS3" i="10"/>
  <c r="AH5" i="10"/>
  <c r="AH4" i="10"/>
  <c r="AH3" i="10"/>
  <c r="AH2" i="10"/>
  <c r="W5" i="10"/>
  <c r="W4" i="10"/>
  <c r="W3" i="10"/>
  <c r="W2" i="10"/>
  <c r="L3" i="10"/>
  <c r="L4" i="10"/>
  <c r="L2" i="10"/>
  <c r="AS5" i="11"/>
  <c r="AS4" i="11"/>
  <c r="AS3" i="11"/>
  <c r="AS2" i="11"/>
  <c r="AH5" i="11"/>
  <c r="AH4" i="11"/>
  <c r="AH3" i="11"/>
  <c r="AH2" i="11"/>
  <c r="W5" i="11"/>
  <c r="W4" i="11"/>
  <c r="W3" i="11"/>
  <c r="L3" i="11"/>
  <c r="L4" i="11"/>
  <c r="AS5" i="12"/>
  <c r="AS4" i="12"/>
  <c r="AS3" i="12"/>
  <c r="AH5" i="12"/>
  <c r="AH4" i="12"/>
  <c r="AH3" i="12"/>
  <c r="AH2" i="12"/>
  <c r="W5" i="12"/>
  <c r="W4" i="12"/>
  <c r="W2" i="12"/>
  <c r="L3" i="12"/>
  <c r="L4" i="12"/>
  <c r="L2" i="12"/>
  <c r="L2" i="13"/>
  <c r="AS5" i="13"/>
  <c r="AS4" i="13"/>
  <c r="AS3" i="13"/>
  <c r="AS2" i="13"/>
  <c r="W5" i="13"/>
  <c r="W4" i="13"/>
  <c r="W3" i="13"/>
  <c r="W2" i="13"/>
  <c r="L3" i="13"/>
  <c r="L4" i="13"/>
  <c r="AS5" i="14"/>
  <c r="AS4" i="14"/>
  <c r="AH5" i="14"/>
  <c r="AH4" i="14"/>
  <c r="AH3" i="14"/>
  <c r="AH2" i="14"/>
  <c r="W5" i="14"/>
  <c r="W4" i="14"/>
  <c r="W3" i="14"/>
  <c r="W2" i="14"/>
  <c r="AS5" i="15"/>
  <c r="AS4" i="15"/>
  <c r="AS3" i="15"/>
  <c r="AS2" i="15"/>
  <c r="AH5" i="15"/>
  <c r="AH4" i="15"/>
  <c r="AH3" i="15"/>
  <c r="AH2" i="15"/>
  <c r="W5" i="15"/>
  <c r="W4" i="15"/>
  <c r="W3" i="15"/>
  <c r="W2" i="15"/>
  <c r="L3" i="15"/>
  <c r="L4" i="15"/>
  <c r="L2" i="15"/>
  <c r="L2" i="9"/>
  <c r="L3" i="9"/>
  <c r="L4" i="9"/>
  <c r="L3" i="8"/>
  <c r="L4" i="8"/>
  <c r="L2" i="8"/>
  <c r="L9" i="2"/>
  <c r="AS9" i="4" l="1"/>
  <c r="AH9" i="4"/>
  <c r="W9" i="4"/>
  <c r="L9" i="4"/>
  <c r="AS9" i="5"/>
  <c r="L9" i="5"/>
  <c r="AS9" i="6"/>
  <c r="AH9" i="6"/>
  <c r="W9" i="6"/>
  <c r="L9" i="6"/>
  <c r="AS9" i="7"/>
  <c r="W9" i="7"/>
  <c r="L9" i="7"/>
  <c r="W9" i="9"/>
  <c r="AS9" i="11"/>
  <c r="L9" i="11"/>
  <c r="L9" i="12"/>
  <c r="AS9" i="13"/>
  <c r="AH9" i="13"/>
  <c r="L9" i="14"/>
  <c r="AH9" i="16"/>
  <c r="W9" i="16"/>
  <c r="L9" i="16"/>
  <c r="AS9" i="17"/>
  <c r="AH9" i="17"/>
  <c r="W9" i="17"/>
  <c r="L9" i="17"/>
  <c r="AS9" i="2"/>
  <c r="AH9" i="2"/>
  <c r="AH6" i="3"/>
  <c r="W6" i="3"/>
  <c r="AS6" i="1"/>
  <c r="AH6" i="1"/>
  <c r="W6" i="1"/>
  <c r="AH9" i="10"/>
  <c r="L6" i="1"/>
  <c r="AS6" i="3"/>
  <c r="AH9" i="5"/>
  <c r="W9" i="5"/>
  <c r="AH9" i="7"/>
  <c r="AS9" i="8"/>
  <c r="AH9" i="8"/>
  <c r="W9" i="8"/>
  <c r="L9" i="8"/>
  <c r="AS9" i="9"/>
  <c r="AH9" i="9"/>
  <c r="L9" i="9"/>
  <c r="AS9" i="10"/>
  <c r="W9" i="10"/>
  <c r="L9" i="10"/>
  <c r="AH9" i="11"/>
  <c r="W9" i="11"/>
  <c r="AS9" i="12"/>
  <c r="AH9" i="12"/>
  <c r="W9" i="12"/>
  <c r="W9" i="13"/>
  <c r="L9" i="13"/>
  <c r="AS9" i="14"/>
  <c r="AH9" i="14"/>
  <c r="W9" i="14"/>
  <c r="AS9" i="15"/>
  <c r="AH9" i="15"/>
  <c r="W9" i="15"/>
  <c r="L9" i="15"/>
  <c r="AS9" i="16"/>
  <c r="W9" i="2"/>
</calcChain>
</file>

<file path=xl/sharedStrings.xml><?xml version="1.0" encoding="utf-8"?>
<sst xmlns="http://schemas.openxmlformats.org/spreadsheetml/2006/main" count="901" uniqueCount="781">
  <si>
    <t>Cover</t>
  </si>
  <si>
    <t>Bare ground</t>
  </si>
  <si>
    <t>Litter</t>
  </si>
  <si>
    <t>Exposed rock</t>
  </si>
  <si>
    <t>Veg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</si>
  <si>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</si>
  <si>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</si>
  <si>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</si>
  <si>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</si>
  <si>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</si>
  <si>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</si>
  <si>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</si>
  <si>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</si>
  <si>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</si>
  <si>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</si>
  <si>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</si>
  <si>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</si>
  <si>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</si>
  <si>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</si>
  <si>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</si>
  <si>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</si>
  <si>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</si>
  <si>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</si>
  <si>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</si>
  <si>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</si>
  <si>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</si>
  <si>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</si>
  <si>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</si>
  <si>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</si>
  <si>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</si>
  <si>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</si>
  <si>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</si>
  <si>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</si>
  <si>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</si>
  <si>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</si>
  <si>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</si>
  <si>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</si>
  <si>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</si>
  <si>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</si>
  <si>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</si>
  <si>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</si>
  <si>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</si>
  <si>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</si>
  <si>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</si>
  <si>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</si>
  <si>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</si>
  <si>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</si>
  <si>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</si>
  <si>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</si>
  <si>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</si>
  <si>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</si>
  <si>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</si>
  <si>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</si>
  <si>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</si>
  <si>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</si>
  <si>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</si>
  <si>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</si>
  <si>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</si>
  <si>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</si>
  <si>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</si>
  <si>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</si>
  <si>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</si>
  <si>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</si>
  <si>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</si>
  <si>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</si>
  <si>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2.3.1</t>
  </si>
  <si>
    <t>2.3.2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</si>
  <si>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</si>
  <si>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</si>
  <si>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</si>
  <si>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</si>
  <si>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</si>
  <si>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</si>
  <si>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</si>
  <si>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</si>
  <si>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</si>
  <si>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</si>
  <si>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</si>
  <si>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</si>
  <si>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</si>
  <si>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</si>
  <si>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</si>
  <si>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</si>
  <si>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2.4.9</t>
  </si>
  <si>
    <t>2.4.10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</si>
  <si>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</si>
  <si>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</si>
  <si>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</si>
  <si>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</si>
  <si>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</si>
  <si>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</si>
  <si>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</si>
  <si>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</si>
  <si>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</si>
  <si>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</si>
  <si>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</si>
  <si>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</si>
  <si>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</si>
  <si>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</si>
  <si>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</si>
  <si>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</si>
  <si>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</si>
  <si>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</si>
  <si>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</si>
  <si>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</si>
  <si>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</si>
  <si>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</si>
  <si>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</si>
  <si>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</si>
  <si>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</si>
  <si>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</si>
  <si>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</si>
  <si>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</si>
  <si>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</si>
  <si>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</si>
  <si>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3.4.1</t>
  </si>
  <si>
    <t>3.4.2</t>
  </si>
  <si>
    <t>3.4.3</t>
  </si>
  <si>
    <t>3.4.4</t>
  </si>
  <si>
    <t>3.4.5</t>
  </si>
  <si>
    <t>3.4.6</t>
  </si>
  <si>
    <t>3.4.7</t>
  </si>
  <si>
    <t>3.4.8</t>
  </si>
  <si>
    <t>3.4.9</t>
  </si>
  <si>
    <t>3.4.10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</si>
  <si>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</si>
  <si>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</si>
  <si>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</si>
  <si>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</si>
  <si>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</si>
  <si>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</si>
  <si>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</si>
  <si>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</si>
  <si>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</si>
  <si>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</si>
  <si>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</si>
  <si>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</si>
  <si>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</si>
  <si>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</si>
  <si>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</si>
  <si>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</si>
  <si>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</si>
  <si>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</si>
  <si>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</si>
  <si>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</si>
  <si>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</si>
  <si>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</si>
  <si>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</si>
  <si>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</si>
  <si>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</si>
  <si>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</si>
  <si>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</si>
  <si>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</si>
  <si>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</si>
  <si>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</si>
  <si>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</si>
  <si>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</si>
  <si>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</si>
  <si>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</si>
  <si>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</si>
  <si>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</si>
  <si>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</si>
  <si>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</si>
  <si>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</si>
  <si>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</si>
  <si>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5.1.1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</si>
  <si>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</si>
  <si>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</si>
  <si>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</si>
  <si>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</si>
  <si>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</si>
  <si>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</si>
  <si>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</si>
  <si>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</si>
  <si>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</si>
  <si>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5.2.1</t>
  </si>
  <si>
    <t>5.2.2</t>
  </si>
  <si>
    <t>5.2.3</t>
  </si>
  <si>
    <t>5.2.4</t>
  </si>
  <si>
    <t>5.2.5</t>
  </si>
  <si>
    <t>5.2.6</t>
  </si>
  <si>
    <t>5.2.7</t>
  </si>
  <si>
    <t>5.2.8</t>
  </si>
  <si>
    <t>5.2.9</t>
  </si>
  <si>
    <t>5.2.10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</si>
  <si>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</si>
  <si>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</si>
  <si>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</si>
  <si>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</si>
  <si>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</si>
  <si>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</si>
  <si>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</si>
  <si>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</si>
  <si>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</si>
  <si>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</si>
  <si>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5.4.1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</si>
  <si>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</si>
  <si>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</si>
  <si>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</si>
  <si>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</si>
  <si>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</si>
  <si>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</si>
  <si>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</si>
  <si>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</si>
  <si>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</si>
  <si>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</si>
  <si>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</si>
  <si>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</si>
  <si>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</si>
  <si>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</si>
  <si>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</si>
  <si>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</si>
  <si>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</si>
  <si>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</si>
  <si>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</si>
  <si>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</si>
  <si>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</si>
  <si>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</si>
  <si>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</si>
  <si>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</si>
  <si>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</si>
  <si>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</si>
  <si>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</si>
  <si>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</si>
  <si>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</si>
  <si>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</si>
  <si>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</si>
  <si>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</si>
  <si>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</si>
  <si>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</si>
  <si>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</si>
  <si>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</si>
  <si>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</si>
  <si>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</si>
  <si>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</si>
  <si>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6.4.1</t>
  </si>
  <si>
    <t>6.4.2</t>
  </si>
  <si>
    <t>6.4.3</t>
  </si>
  <si>
    <t>6.4.4</t>
  </si>
  <si>
    <t>6.4.5</t>
  </si>
  <si>
    <t>6.4.6</t>
  </si>
  <si>
    <t>6.4.7</t>
  </si>
  <si>
    <t>6.4.8</t>
  </si>
  <si>
    <t>6.4.9</t>
  </si>
  <si>
    <t>6.4.10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</si>
  <si>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</si>
  <si>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</si>
  <si>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</si>
  <si>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</si>
  <si>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</si>
  <si>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</si>
  <si>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</si>
  <si>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</si>
  <si>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</si>
  <si>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</si>
  <si>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7.2.1</t>
  </si>
  <si>
    <t>7.2.2</t>
  </si>
  <si>
    <t>7.2.3</t>
  </si>
  <si>
    <t>7.2.4</t>
  </si>
  <si>
    <t>7.2.5</t>
  </si>
  <si>
    <t>7.2.6</t>
  </si>
  <si>
    <t>7.2.7</t>
  </si>
  <si>
    <t>7.2.8</t>
  </si>
  <si>
    <t>7.2.9</t>
  </si>
  <si>
    <t>7.2.10</t>
  </si>
  <si>
    <t>7.3.1</t>
  </si>
  <si>
    <t>7.3.2</t>
  </si>
  <si>
    <t>7.3.3</t>
  </si>
  <si>
    <t>7.3.4</t>
  </si>
  <si>
    <t>7.3.5</t>
  </si>
  <si>
    <t>7.3.6</t>
  </si>
  <si>
    <t>7.3.7</t>
  </si>
  <si>
    <t>7.3.8</t>
  </si>
  <si>
    <t>7.3.9</t>
  </si>
  <si>
    <t>7.3.10</t>
  </si>
  <si>
    <t>7.4.1</t>
  </si>
  <si>
    <t>7.4.2</t>
  </si>
  <si>
    <t>7.4.3</t>
  </si>
  <si>
    <t>7.4.4</t>
  </si>
  <si>
    <t>7.4.5</t>
  </si>
  <si>
    <t>7.4.6</t>
  </si>
  <si>
    <t>7.4.7</t>
  </si>
  <si>
    <t>7.4.8</t>
  </si>
  <si>
    <t>7.4.9</t>
  </si>
  <si>
    <t>7.4.10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</si>
  <si>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</si>
  <si>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</si>
  <si>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</si>
  <si>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</si>
  <si>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</si>
  <si>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</si>
  <si>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</si>
  <si>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</si>
  <si>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</si>
  <si>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</si>
  <si>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8.2.1</t>
  </si>
  <si>
    <t>8.2.2</t>
  </si>
  <si>
    <t>8.2.3</t>
  </si>
  <si>
    <t>8.2.4</t>
  </si>
  <si>
    <t>8.2.5</t>
  </si>
  <si>
    <t>8.2.6</t>
  </si>
  <si>
    <t>8.2.7</t>
  </si>
  <si>
    <t>8.2.8</t>
  </si>
  <si>
    <t>8.2.9</t>
  </si>
  <si>
    <t>8.2.10</t>
  </si>
  <si>
    <t>8.3.1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</si>
  <si>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</si>
  <si>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</si>
  <si>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</si>
  <si>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</si>
  <si>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</si>
  <si>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</si>
  <si>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</si>
  <si>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</si>
  <si>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</si>
  <si>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8.4.1</t>
  </si>
  <si>
    <t>8.4.2</t>
  </si>
  <si>
    <t>8.4.3</t>
  </si>
  <si>
    <t>8.4.4</t>
  </si>
  <si>
    <t>8.4.5</t>
  </si>
  <si>
    <t>8.4.6</t>
  </si>
  <si>
    <t>8.4.7</t>
  </si>
  <si>
    <t>8.4.8</t>
  </si>
  <si>
    <t>8.4.9</t>
  </si>
  <si>
    <t>8.4.10</t>
  </si>
  <si>
    <t>9.1.1</t>
  </si>
  <si>
    <t>9.1.2</t>
  </si>
  <si>
    <t>9.1.3</t>
  </si>
  <si>
    <t>9.1.4</t>
  </si>
  <si>
    <t>9.1.5</t>
  </si>
  <si>
    <t>9.1.6</t>
  </si>
  <si>
    <t>9.1.7</t>
  </si>
  <si>
    <t>9.1.8</t>
  </si>
  <si>
    <t>9.1.9</t>
  </si>
  <si>
    <t>9.1.10</t>
  </si>
  <si>
    <t>9.2.1</t>
  </si>
  <si>
    <t>9.2.2</t>
  </si>
  <si>
    <t>9.2.3</t>
  </si>
  <si>
    <t>9.2.4</t>
  </si>
  <si>
    <t>9.2.5</t>
  </si>
  <si>
    <t>9.2.6</t>
  </si>
  <si>
    <t>9.2.7</t>
  </si>
  <si>
    <t>9.2.8</t>
  </si>
  <si>
    <t>9.2.9</t>
  </si>
  <si>
    <t>9.2.10</t>
  </si>
  <si>
    <t>9.3.1</t>
  </si>
  <si>
    <t>9.3.2</t>
  </si>
  <si>
    <t>9.3.3</t>
  </si>
  <si>
    <t>9.3.4</t>
  </si>
  <si>
    <t>9.3.5</t>
  </si>
  <si>
    <t>9.3.6</t>
  </si>
  <si>
    <t>9.3.7</t>
  </si>
  <si>
    <t>9.3.8</t>
  </si>
  <si>
    <t>9.3.9</t>
  </si>
  <si>
    <t>9.3.10</t>
  </si>
  <si>
    <t>9.4.1</t>
  </si>
  <si>
    <t>9.4.2</t>
  </si>
  <si>
    <t>9.4.3</t>
  </si>
  <si>
    <t>9.4.4</t>
  </si>
  <si>
    <t>9.4.5</t>
  </si>
  <si>
    <t>9.4.6</t>
  </si>
  <si>
    <t>9.4.7</t>
  </si>
  <si>
    <t>9.4.8</t>
  </si>
  <si>
    <t>9.4.9</t>
  </si>
  <si>
    <t>9.4.10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</si>
  <si>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</si>
  <si>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</si>
  <si>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</si>
  <si>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</si>
  <si>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</si>
  <si>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</si>
  <si>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</si>
  <si>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</si>
  <si>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10.1.9</t>
  </si>
  <si>
    <t>10.1.10</t>
  </si>
  <si>
    <t>10.2.1</t>
  </si>
  <si>
    <t>10.2.2</t>
  </si>
  <si>
    <t>10.2.3</t>
  </si>
  <si>
    <t>10.2.4</t>
  </si>
  <si>
    <t>10.2.5</t>
  </si>
  <si>
    <t>10.2.6</t>
  </si>
  <si>
    <t>10.2.7</t>
  </si>
  <si>
    <t>10.2.8</t>
  </si>
  <si>
    <t>10.2.9</t>
  </si>
  <si>
    <t>10.2.10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</si>
  <si>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</si>
  <si>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</si>
  <si>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</si>
  <si>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</si>
  <si>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</si>
  <si>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</si>
  <si>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</si>
  <si>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</si>
  <si>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10.3.9</t>
  </si>
  <si>
    <t>10.3.10</t>
  </si>
  <si>
    <t>10.4.1</t>
  </si>
  <si>
    <t>10.4.2</t>
  </si>
  <si>
    <t>10.4.3</t>
  </si>
  <si>
    <t>10.4.4</t>
  </si>
  <si>
    <t>10.4.5</t>
  </si>
  <si>
    <t>10.4.6</t>
  </si>
  <si>
    <t>10.4.7</t>
  </si>
  <si>
    <t>10.4.8</t>
  </si>
  <si>
    <t>10.4.9</t>
  </si>
  <si>
    <t>10.4.10</t>
  </si>
  <si>
    <t>11.1.1</t>
  </si>
  <si>
    <t>11.1.2</t>
  </si>
  <si>
    <t>11.1.3</t>
  </si>
  <si>
    <t>11.1.4</t>
  </si>
  <si>
    <t>11.1.5</t>
  </si>
  <si>
    <t>11.1.6</t>
  </si>
  <si>
    <t>11.1.7</t>
  </si>
  <si>
    <t>11.1.8</t>
  </si>
  <si>
    <t>11.1.9</t>
  </si>
  <si>
    <t>11.1.10</t>
  </si>
  <si>
    <t>11.2.1</t>
  </si>
  <si>
    <t>11.2.2</t>
  </si>
  <si>
    <t>11.2.3</t>
  </si>
  <si>
    <t>11.2.4</t>
  </si>
  <si>
    <t>11.2.5</t>
  </si>
  <si>
    <t>11.2.6</t>
  </si>
  <si>
    <t>11.2.7</t>
  </si>
  <si>
    <t>11.2.8</t>
  </si>
  <si>
    <t>11.2.9</t>
  </si>
  <si>
    <t>11.2.10</t>
  </si>
  <si>
    <t>11.3.1</t>
  </si>
  <si>
    <t>11.3.2</t>
  </si>
  <si>
    <t>11.3.3</t>
  </si>
  <si>
    <t>11.3.4</t>
  </si>
  <si>
    <t>11.3.5</t>
  </si>
  <si>
    <t>11.3.6</t>
  </si>
  <si>
    <t>11.3.7</t>
  </si>
  <si>
    <t>11.3.8</t>
  </si>
  <si>
    <t>11.3.9</t>
  </si>
  <si>
    <t>11.3.10</t>
  </si>
  <si>
    <t>11.4.1</t>
  </si>
  <si>
    <t>11.4.2</t>
  </si>
  <si>
    <t>11.4.3</t>
  </si>
  <si>
    <t>11.4.4</t>
  </si>
  <si>
    <t>11.4.5</t>
  </si>
  <si>
    <t>11.4.6</t>
  </si>
  <si>
    <t>11.4.7</t>
  </si>
  <si>
    <t>11.4.8</t>
  </si>
  <si>
    <t>11.4.9</t>
  </si>
  <si>
    <t>11.4.10</t>
  </si>
  <si>
    <t>12.1.1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</si>
  <si>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</si>
  <si>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</si>
  <si>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</si>
  <si>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</si>
  <si>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</si>
  <si>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</si>
  <si>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</si>
  <si>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</si>
  <si>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12.1.10</t>
  </si>
  <si>
    <t>12.2.1</t>
  </si>
  <si>
    <t>12.2.2</t>
  </si>
  <si>
    <t>12.2.3</t>
  </si>
  <si>
    <t>12.2.4</t>
  </si>
  <si>
    <t>12.2.5</t>
  </si>
  <si>
    <t>12.2.6</t>
  </si>
  <si>
    <t>12.2.7</t>
  </si>
  <si>
    <t>12.2.8</t>
  </si>
  <si>
    <t>12.2.9</t>
  </si>
  <si>
    <t>12.2.10</t>
  </si>
  <si>
    <t>12.3.1</t>
  </si>
  <si>
    <t>12.3.2</t>
  </si>
  <si>
    <t>12.3.3</t>
  </si>
  <si>
    <t>12.3.4</t>
  </si>
  <si>
    <t>12.3.5</t>
  </si>
  <si>
    <t>12.3.6</t>
  </si>
  <si>
    <t>12.3.7</t>
  </si>
  <si>
    <t>12.3.8</t>
  </si>
  <si>
    <t>12.3.9</t>
  </si>
  <si>
    <t>12.3.10</t>
  </si>
  <si>
    <t>12.4.1</t>
  </si>
  <si>
    <t>12.4.2</t>
  </si>
  <si>
    <t>12.4.3</t>
  </si>
  <si>
    <t>12.4.4</t>
  </si>
  <si>
    <t>12.4.5</t>
  </si>
  <si>
    <t>12.4.6</t>
  </si>
  <si>
    <t>12.4.7</t>
  </si>
  <si>
    <t>12.4.8</t>
  </si>
  <si>
    <t>12.4.9</t>
  </si>
  <si>
    <t>12.4.10</t>
  </si>
  <si>
    <t>13.1.1</t>
  </si>
  <si>
    <t>13.1.2</t>
  </si>
  <si>
    <t>13.1.3</t>
  </si>
  <si>
    <t>13.1.4</t>
  </si>
  <si>
    <t>13.1.5</t>
  </si>
  <si>
    <t>13.1.6</t>
  </si>
  <si>
    <t>13.1.7</t>
  </si>
  <si>
    <t>13.1.8</t>
  </si>
  <si>
    <t>13.1.9</t>
  </si>
  <si>
    <t>13.1.10</t>
  </si>
  <si>
    <t>13.2.1</t>
  </si>
  <si>
    <t>13.2.2</t>
  </si>
  <si>
    <t>13.2.3</t>
  </si>
  <si>
    <t>13.2.4</t>
  </si>
  <si>
    <t>13.2.5</t>
  </si>
  <si>
    <t>13.2.6</t>
  </si>
  <si>
    <t>13.2.7</t>
  </si>
  <si>
    <t>13.2.8</t>
  </si>
  <si>
    <t>13.2.9</t>
  </si>
  <si>
    <t>13.2.10</t>
  </si>
  <si>
    <t>13.3.1</t>
  </si>
  <si>
    <t>13.3.2</t>
  </si>
  <si>
    <t>13.3.3</t>
  </si>
  <si>
    <t>13.3.4</t>
  </si>
  <si>
    <t>13.3.5</t>
  </si>
  <si>
    <t>13.3.6</t>
  </si>
  <si>
    <t>13.3.7</t>
  </si>
  <si>
    <t>13.3.8</t>
  </si>
  <si>
    <t>13.3.9</t>
  </si>
  <si>
    <t>13.3.10</t>
  </si>
  <si>
    <t>13.4.1</t>
  </si>
  <si>
    <t>13.4.2</t>
  </si>
  <si>
    <t>13.4.3</t>
  </si>
  <si>
    <t>13.4.4</t>
  </si>
  <si>
    <t>13.4.5</t>
  </si>
  <si>
    <t>13.4.6</t>
  </si>
  <si>
    <t>13.4.7</t>
  </si>
  <si>
    <t>13.4.8</t>
  </si>
  <si>
    <t>13.4.9</t>
  </si>
  <si>
    <t>13.4.10</t>
  </si>
  <si>
    <t>14.1.1</t>
  </si>
  <si>
    <t>14.1.2</t>
  </si>
  <si>
    <t>14.1.3</t>
  </si>
  <si>
    <t>14.1.4</t>
  </si>
  <si>
    <t>14.1.5</t>
  </si>
  <si>
    <t>14.1.6</t>
  </si>
  <si>
    <t>14.1.7</t>
  </si>
  <si>
    <t>14.1.8</t>
  </si>
  <si>
    <t>14.1.9</t>
  </si>
  <si>
    <t>14.1.10</t>
  </si>
  <si>
    <t>14.2.1</t>
  </si>
  <si>
    <t>14.2.2</t>
  </si>
  <si>
    <t>14.2.3</t>
  </si>
  <si>
    <t>14.2.4</t>
  </si>
  <si>
    <t>14.2.5</t>
  </si>
  <si>
    <t>14.2.6</t>
  </si>
  <si>
    <t>14.2.7</t>
  </si>
  <si>
    <t>14.2.8</t>
  </si>
  <si>
    <t>14.2.9</t>
  </si>
  <si>
    <t>14.2.10</t>
  </si>
  <si>
    <t>14.3.1</t>
  </si>
  <si>
    <t>14.3.2</t>
  </si>
  <si>
    <t>14.3.3</t>
  </si>
  <si>
    <t>14.3.4</t>
  </si>
  <si>
    <t>14.3.5</t>
  </si>
  <si>
    <t>14.3.6</t>
  </si>
  <si>
    <t>14.3.7</t>
  </si>
  <si>
    <t>14.3.8</t>
  </si>
  <si>
    <t>14.3.9</t>
  </si>
  <si>
    <t>14.3.10</t>
  </si>
  <si>
    <t>14.4.1</t>
  </si>
  <si>
    <t>14.4.2</t>
  </si>
  <si>
    <t>14.4.3</t>
  </si>
  <si>
    <t>14.4.4</t>
  </si>
  <si>
    <t>14.4.5</t>
  </si>
  <si>
    <t>14.4.6</t>
  </si>
  <si>
    <t>14.4.7</t>
  </si>
  <si>
    <t>14.4.8</t>
  </si>
  <si>
    <t>14.4.9</t>
  </si>
  <si>
    <t>14.4.10</t>
  </si>
  <si>
    <t>15.1.1</t>
  </si>
  <si>
    <t>15.1.2</t>
  </si>
  <si>
    <t>15.1.3</t>
  </si>
  <si>
    <t>15.1.4</t>
  </si>
  <si>
    <t>15.1.5</t>
  </si>
  <si>
    <t>15.1.6</t>
  </si>
  <si>
    <t>15.1.7</t>
  </si>
  <si>
    <t>15.1.8</t>
  </si>
  <si>
    <t>15.1.9</t>
  </si>
  <si>
    <t>15.1.10</t>
  </si>
  <si>
    <t>15.2.1</t>
  </si>
  <si>
    <t>15.2.2</t>
  </si>
  <si>
    <t>15.2.3</t>
  </si>
  <si>
    <t>15.2.4</t>
  </si>
  <si>
    <t>15.2.5</t>
  </si>
  <si>
    <t>15.2.6</t>
  </si>
  <si>
    <t>15.2.7</t>
  </si>
  <si>
    <t>15.2.8</t>
  </si>
  <si>
    <t>15.2.9</t>
  </si>
  <si>
    <t>15.2.10</t>
  </si>
  <si>
    <t>15.3.1</t>
  </si>
  <si>
    <t>15.3.2</t>
  </si>
  <si>
    <t>15.3.3</t>
  </si>
  <si>
    <t>15.3.4</t>
  </si>
  <si>
    <t>15.3.5</t>
  </si>
  <si>
    <t>15.3.6</t>
  </si>
  <si>
    <t>15.3.7</t>
  </si>
  <si>
    <t>15.3.8</t>
  </si>
  <si>
    <t>15.3.9</t>
  </si>
  <si>
    <t>15.3.10</t>
  </si>
  <si>
    <t>15.4.1</t>
  </si>
  <si>
    <t>15.4.2</t>
  </si>
  <si>
    <t>15.4.3</t>
  </si>
  <si>
    <t>15.4.4</t>
  </si>
  <si>
    <t>15.4.5</t>
  </si>
  <si>
    <t>15.4.6</t>
  </si>
  <si>
    <t>15.4.7</t>
  </si>
  <si>
    <t>15.4.8</t>
  </si>
  <si>
    <t>15.4.9</t>
  </si>
  <si>
    <t>15.4.10</t>
  </si>
  <si>
    <t>16.1.1</t>
  </si>
  <si>
    <t>16.1.2</t>
  </si>
  <si>
    <t>16.1.3</t>
  </si>
  <si>
    <t>16.1.4</t>
  </si>
  <si>
    <t>16.1.5</t>
  </si>
  <si>
    <t>16.1.6</t>
  </si>
  <si>
    <t>16.1.7</t>
  </si>
  <si>
    <t>16.1.8</t>
  </si>
  <si>
    <t>16.1.9</t>
  </si>
  <si>
    <t>16.1.10</t>
  </si>
  <si>
    <t>16.2.1</t>
  </si>
  <si>
    <t>16.2.2</t>
  </si>
  <si>
    <t>16.2.3</t>
  </si>
  <si>
    <t>16.2.4</t>
  </si>
  <si>
    <t>16.2.5</t>
  </si>
  <si>
    <t>16.2.6</t>
  </si>
  <si>
    <t>16.2.7</t>
  </si>
  <si>
    <t>16.2.8</t>
  </si>
  <si>
    <t>16.2.9</t>
  </si>
  <si>
    <t>16.2.10</t>
  </si>
  <si>
    <t>16.3.1</t>
  </si>
  <si>
    <t>16.3.2</t>
  </si>
  <si>
    <t>16.3.3</t>
  </si>
  <si>
    <t>16.3.4</t>
  </si>
  <si>
    <t>16.3.5</t>
  </si>
  <si>
    <t>16.3.6</t>
  </si>
  <si>
    <t>16.3.7</t>
  </si>
  <si>
    <t>16.3.8</t>
  </si>
  <si>
    <t>16.3.9</t>
  </si>
  <si>
    <t>16.3.10</t>
  </si>
  <si>
    <t>16.4.1</t>
  </si>
  <si>
    <t>16.4.2</t>
  </si>
  <si>
    <t>16.4.3</t>
  </si>
  <si>
    <t>16.4.4</t>
  </si>
  <si>
    <t>16.4.5</t>
  </si>
  <si>
    <t>16.4.6</t>
  </si>
  <si>
    <t>16.4.7</t>
  </si>
  <si>
    <t>16.4.8</t>
  </si>
  <si>
    <t>16.4.9</t>
  </si>
  <si>
    <t>16.4.10</t>
  </si>
  <si>
    <t>17.1.1</t>
  </si>
  <si>
    <t>17.1.2</t>
  </si>
  <si>
    <t>17.1.3</t>
  </si>
  <si>
    <t>17.1.4</t>
  </si>
  <si>
    <t>17.1.5</t>
  </si>
  <si>
    <t>17.1.6</t>
  </si>
  <si>
    <t>17.1.7</t>
  </si>
  <si>
    <t>17.1.8</t>
  </si>
  <si>
    <t>17.1.9</t>
  </si>
  <si>
    <t>17.1.10</t>
  </si>
  <si>
    <t>17.2.1</t>
  </si>
  <si>
    <t>17.2.2</t>
  </si>
  <si>
    <t>17.2.3</t>
  </si>
  <si>
    <t>17.2.4</t>
  </si>
  <si>
    <t>17.2.5</t>
  </si>
  <si>
    <t>17.2.6</t>
  </si>
  <si>
    <t>17.2.7</t>
  </si>
  <si>
    <t>17.2.8</t>
  </si>
  <si>
    <t>17.2.9</t>
  </si>
  <si>
    <t>17.2.10</t>
  </si>
  <si>
    <t>17.3.1</t>
  </si>
  <si>
    <t>17.3.2</t>
  </si>
  <si>
    <t>17.3.3</t>
  </si>
  <si>
    <t>17.3.4</t>
  </si>
  <si>
    <t>17.3.5</t>
  </si>
  <si>
    <t>17.3.6</t>
  </si>
  <si>
    <t>17.3.7</t>
  </si>
  <si>
    <t>17.3.8</t>
  </si>
  <si>
    <t>17.3.9</t>
  </si>
  <si>
    <t>17.3.10</t>
  </si>
  <si>
    <t>17.4.1</t>
  </si>
  <si>
    <t>17.4.2</t>
  </si>
  <si>
    <t>17.4.3</t>
  </si>
  <si>
    <t>17.4.4</t>
  </si>
  <si>
    <t>17.4.5</t>
  </si>
  <si>
    <t>17.4.6</t>
  </si>
  <si>
    <t>17.4.7</t>
  </si>
  <si>
    <t>17.4.8</t>
  </si>
  <si>
    <t>17.4.9</t>
  </si>
  <si>
    <t>17.4.10</t>
  </si>
  <si>
    <t>Restios</t>
  </si>
  <si>
    <t>Protea</t>
  </si>
  <si>
    <t>Succ Karroo</t>
  </si>
  <si>
    <t>Erica</t>
  </si>
  <si>
    <t>Ericas</t>
  </si>
  <si>
    <t>Grass</t>
  </si>
  <si>
    <t>Cederberg Vegetation Data:  % Cover</t>
  </si>
  <si>
    <t xml:space="preserve">Long term monitoring transect: </t>
  </si>
  <si>
    <t>Coast to Karoo Transect</t>
  </si>
  <si>
    <t>Site Sampling Period:</t>
  </si>
  <si>
    <t>Start:  October 2002</t>
  </si>
  <si>
    <t>every March and October seasons of a year</t>
  </si>
  <si>
    <t>planned to go until October 2014</t>
  </si>
  <si>
    <t>Please refer to:  [ IRSS:  Coast to Karoo Transect: General Info Folder: Notes on Cederberg Pitfalls File ] for specific information on:</t>
  </si>
  <si>
    <t>Sampling Dates</t>
  </si>
  <si>
    <t>Fire history of sites</t>
  </si>
  <si>
    <t>Field worker Teams</t>
  </si>
  <si>
    <t>Disturbances per pitfall Trap</t>
  </si>
  <si>
    <t>GeoSpatial Information of all the sites</t>
  </si>
  <si>
    <t>Observer name</t>
  </si>
  <si>
    <t>Also Refer to other folders on the IRSS for the Coast to Karoo / Cederberg Transect</t>
  </si>
  <si>
    <t>Folder:  Vegetation -  for files on Vegetation Height / Structure</t>
  </si>
  <si>
    <t>Folder:  Invertebrates - for files on Ants and Beetles per season</t>
  </si>
  <si>
    <t>Folder:  Climate Data - for files on microclimate readings per site per year</t>
  </si>
  <si>
    <t>Information on data type:</t>
  </si>
  <si>
    <t>Data consist of vegetation cover percentages for several specified catagories (see definition of Column A below) and vegetation complexity data</t>
  </si>
  <si>
    <t>This data is not intended for in depth Vegetation analyses, but more for understanding the habitat for the studied invertebrates</t>
  </si>
  <si>
    <t>as data are collected on a coarse scale with broad categories.</t>
  </si>
  <si>
    <t>File information:</t>
  </si>
  <si>
    <t>Each file consist of a metadata sheet and 17 worksheets with raw data</t>
  </si>
  <si>
    <t>Layout of sampling site:</t>
  </si>
  <si>
    <t>The 17 sheets each represent one site. Named by their altitude and aspect, and on the Sheet by its number.</t>
  </si>
  <si>
    <t>Each Site consists of 4 Grids with 10 Pitfall Traps each.  Always numbered in the same sequence.</t>
  </si>
  <si>
    <t>Two rows of 5 Pitfalls 10 meters apart each, and the two rows also 10 meters apart.</t>
  </si>
  <si>
    <t>Use field notes for orientation and layout of Grids.  These field notebooks can be found in office 3029 Natural Sciences with Suzaan Kritzinger-Klopper)</t>
  </si>
  <si>
    <r>
      <t>Figure by</t>
    </r>
    <r>
      <rPr>
        <b/>
        <sz val="10"/>
        <rFont val="Arial"/>
        <family val="2"/>
      </rPr>
      <t xml:space="preserve"> Antoinette Botes</t>
    </r>
  </si>
  <si>
    <t>Sampling method:</t>
  </si>
  <si>
    <t xml:space="preserve">Vegetation cover recorded with a 1 meter by 1 meter quadrat around each Pitfall Trap </t>
  </si>
  <si>
    <t>Vegetation cover as a percentage for the different Categories are estimated by the Observer</t>
  </si>
  <si>
    <t>Vegetation complexity / Structure / Height  are also recorded, but are given in a separate file to allow for calculations.</t>
  </si>
  <si>
    <t xml:space="preserve">Accuracy: </t>
  </si>
  <si>
    <t>There have been different observers over the different seasons.</t>
  </si>
  <si>
    <t>Antoinette Botes did the seasons 2002 to March 2005, with some help of Henry Davids.</t>
  </si>
  <si>
    <t>Suzaan Kritzinger-Klopper, Erika Nortje did the rest of the seasons with help from Henry Davids until early 2007,</t>
  </si>
  <si>
    <t>Occasional other observers also helped.</t>
  </si>
  <si>
    <t xml:space="preserve">The Datasheet has also developed over the years to contain more descriptive categories, </t>
  </si>
  <si>
    <t>as in the first years there were only a category for Restio's and not for Grass.</t>
  </si>
  <si>
    <t>Rows marked by yellow indicate such differences.</t>
  </si>
  <si>
    <t>Data entry:</t>
  </si>
  <si>
    <t>Data entered in raw format, directly from fieldwork sheets</t>
  </si>
  <si>
    <t>Unit of data:</t>
  </si>
  <si>
    <t>Vegetation cover captured as a percentage of the quadrat area (canopy cover)</t>
  </si>
  <si>
    <t>Percentages per quadrat sum to 100</t>
  </si>
  <si>
    <t>Structure of worksheets:</t>
  </si>
  <si>
    <t>(As mentioned above, each worksheet represents a Site)</t>
  </si>
  <si>
    <t>Column</t>
  </si>
  <si>
    <t>Variable name</t>
  </si>
  <si>
    <t>Column A:</t>
  </si>
  <si>
    <t>Vegetation Category:   (Bare ground, Litter, Rock, Protea, Ericoid Shrubs, Restios, Grass / Vegetation)</t>
  </si>
  <si>
    <t>Please note that site 1 and 17 does not have the Fynbos categories as they are in different veldtypes.</t>
  </si>
  <si>
    <t>Site 1 is on the beach dunes at Lamberts bay - Coastal beach vegetation</t>
  </si>
  <si>
    <t>Site 17 is in the Succulent Karoo at Wupperthal.</t>
  </si>
  <si>
    <t>Row 1</t>
  </si>
  <si>
    <t>Pitfall Number</t>
  </si>
  <si>
    <t>Row 2</t>
  </si>
  <si>
    <t>Bare Ground              -  these also occasionally includes Termite mounts / Ant hills</t>
  </si>
  <si>
    <t>Row 3</t>
  </si>
  <si>
    <t>Litter                         -  Dead plant / organic matter e.g.  Old leaves, burned stems, animal droppings</t>
  </si>
  <si>
    <t>Row 4</t>
  </si>
  <si>
    <t>Exposed Rock  -  in certain sites this is the sum of all the smaller stones</t>
  </si>
  <si>
    <t>Row 5</t>
  </si>
  <si>
    <t>Protea   -   Any Proteacea family, including Serurias, Spatallas etc.</t>
  </si>
  <si>
    <t>Row 6</t>
  </si>
  <si>
    <t>Restios  -  Restionaceae and Cyperaceae, including Tetrarias</t>
  </si>
  <si>
    <t>Row 7</t>
  </si>
  <si>
    <t>Erica - Any other woody shrubs, geophytes, ferns, succulents, and forbs (sometimes labelled as 'bossies' / Ericas)</t>
  </si>
  <si>
    <t>Row 8</t>
  </si>
  <si>
    <t>Column B - K</t>
  </si>
  <si>
    <t>Site number.  Grid 1.  Pitfall 1 - 10</t>
  </si>
  <si>
    <t>Column L</t>
  </si>
  <si>
    <t>Average of columns B - K</t>
  </si>
  <si>
    <t>Column M - V</t>
  </si>
  <si>
    <t>Site number.  Grid 2.  Pitfall 1 - 10</t>
  </si>
  <si>
    <t>Column W</t>
  </si>
  <si>
    <t>Average of columns M - V</t>
  </si>
  <si>
    <t>Column X - AG</t>
  </si>
  <si>
    <t>Site number.  Grid 3.  Pitfall 1 - 10</t>
  </si>
  <si>
    <t>Column AH</t>
  </si>
  <si>
    <t>Average of columns X - AG</t>
  </si>
  <si>
    <t>Column AI - AR</t>
  </si>
  <si>
    <t>Site number.  Grid 4.  Pitfall 1 - 10</t>
  </si>
  <si>
    <t>Column AS</t>
  </si>
  <si>
    <t>Average of columns AI - AR</t>
  </si>
  <si>
    <t>Additional information :</t>
  </si>
  <si>
    <t xml:space="preserve">Lichens and Mosses are mostly ignored </t>
  </si>
  <si>
    <t>Dried out annuals count as litter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</si>
</sst>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</font>
    <font>
      <b/>
      <u/>
      <sz val="12"/>
      <name val="Arial"/>
      <family val="2"/>
    </font>
    <font>
      <b/>
      <u/>
      <sz val="14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Border="1"/>
    <xf numFmtId="0" fontId="3" fillId="0" borderId="0" xfId="0" applyFont="1" applyFill="1"/>
    <xf numFmtId="0" fontId="4" fillId="0" borderId="0" xfId="0" applyFont="1" applyFill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9" fillId="0" borderId="0" xfId="0" applyFont="1"/>
    <xf numFmtId="0" fontId="0" fillId="0" borderId="1" xfId="0" applyFill="1" applyBorder="1"/>
    <xf numFmtId="0" fontId="1" fillId="0" borderId="1" xfId="0" applyFont="1" applyFill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31</xdr:row>
          <xdr:rowOff>114300</xdr:rowOff>
        </xdr:from>
        <xdr:to>
          <xdr:col>1</xdr:col>
          <xdr:colOff>5848350</xdr:colOff>
          <xdr:row>69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w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126"/>
  <sheetViews>
    <sheetView workbookViewId="0">
      <selection activeCell="B126" sqref="B126"/>
    </sheetView>
  </sheetViews>
  <sheetFormatPr defaultRowHeight="12.75" x14ac:dyDescent="0.2"/>
  <cols>
    <col min="1" max="1" width="26" customWidth="1"/>
    <col min="2" max="2" width="97.85546875" customWidth="1"/>
    <col min="257" max="257" width="26" customWidth="1"/>
    <col min="258" max="258" width="97.85546875" customWidth="1"/>
    <col min="513" max="513" width="26" customWidth="1"/>
    <col min="514" max="514" width="97.85546875" customWidth="1"/>
    <col min="769" max="769" width="26" customWidth="1"/>
    <col min="770" max="770" width="97.85546875" customWidth="1"/>
    <col min="1025" max="1025" width="26" customWidth="1"/>
    <col min="1026" max="1026" width="97.85546875" customWidth="1"/>
    <col min="1281" max="1281" width="26" customWidth="1"/>
    <col min="1282" max="1282" width="97.85546875" customWidth="1"/>
    <col min="1537" max="1537" width="26" customWidth="1"/>
    <col min="1538" max="1538" width="97.85546875" customWidth="1"/>
    <col min="1793" max="1793" width="26" customWidth="1"/>
    <col min="1794" max="1794" width="97.85546875" customWidth="1"/>
    <col min="2049" max="2049" width="26" customWidth="1"/>
    <col min="2050" max="2050" width="97.85546875" customWidth="1"/>
    <col min="2305" max="2305" width="26" customWidth="1"/>
    <col min="2306" max="2306" width="97.85546875" customWidth="1"/>
    <col min="2561" max="2561" width="26" customWidth="1"/>
    <col min="2562" max="2562" width="97.85546875" customWidth="1"/>
    <col min="2817" max="2817" width="26" customWidth="1"/>
    <col min="2818" max="2818" width="97.85546875" customWidth="1"/>
    <col min="3073" max="3073" width="26" customWidth="1"/>
    <col min="3074" max="3074" width="97.85546875" customWidth="1"/>
    <col min="3329" max="3329" width="26" customWidth="1"/>
    <col min="3330" max="3330" width="97.85546875" customWidth="1"/>
    <col min="3585" max="3585" width="26" customWidth="1"/>
    <col min="3586" max="3586" width="97.85546875" customWidth="1"/>
    <col min="3841" max="3841" width="26" customWidth="1"/>
    <col min="3842" max="3842" width="97.85546875" customWidth="1"/>
    <col min="4097" max="4097" width="26" customWidth="1"/>
    <col min="4098" max="4098" width="97.85546875" customWidth="1"/>
    <col min="4353" max="4353" width="26" customWidth="1"/>
    <col min="4354" max="4354" width="97.85546875" customWidth="1"/>
    <col min="4609" max="4609" width="26" customWidth="1"/>
    <col min="4610" max="4610" width="97.85546875" customWidth="1"/>
    <col min="4865" max="4865" width="26" customWidth="1"/>
    <col min="4866" max="4866" width="97.85546875" customWidth="1"/>
    <col min="5121" max="5121" width="26" customWidth="1"/>
    <col min="5122" max="5122" width="97.85546875" customWidth="1"/>
    <col min="5377" max="5377" width="26" customWidth="1"/>
    <col min="5378" max="5378" width="97.85546875" customWidth="1"/>
    <col min="5633" max="5633" width="26" customWidth="1"/>
    <col min="5634" max="5634" width="97.85546875" customWidth="1"/>
    <col min="5889" max="5889" width="26" customWidth="1"/>
    <col min="5890" max="5890" width="97.85546875" customWidth="1"/>
    <col min="6145" max="6145" width="26" customWidth="1"/>
    <col min="6146" max="6146" width="97.85546875" customWidth="1"/>
    <col min="6401" max="6401" width="26" customWidth="1"/>
    <col min="6402" max="6402" width="97.85546875" customWidth="1"/>
    <col min="6657" max="6657" width="26" customWidth="1"/>
    <col min="6658" max="6658" width="97.85546875" customWidth="1"/>
    <col min="6913" max="6913" width="26" customWidth="1"/>
    <col min="6914" max="6914" width="97.85546875" customWidth="1"/>
    <col min="7169" max="7169" width="26" customWidth="1"/>
    <col min="7170" max="7170" width="97.85546875" customWidth="1"/>
    <col min="7425" max="7425" width="26" customWidth="1"/>
    <col min="7426" max="7426" width="97.85546875" customWidth="1"/>
    <col min="7681" max="7681" width="26" customWidth="1"/>
    <col min="7682" max="7682" width="97.85546875" customWidth="1"/>
    <col min="7937" max="7937" width="26" customWidth="1"/>
    <col min="7938" max="7938" width="97.85546875" customWidth="1"/>
    <col min="8193" max="8193" width="26" customWidth="1"/>
    <col min="8194" max="8194" width="97.85546875" customWidth="1"/>
    <col min="8449" max="8449" width="26" customWidth="1"/>
    <col min="8450" max="8450" width="97.85546875" customWidth="1"/>
    <col min="8705" max="8705" width="26" customWidth="1"/>
    <col min="8706" max="8706" width="97.85546875" customWidth="1"/>
    <col min="8961" max="8961" width="26" customWidth="1"/>
    <col min="8962" max="8962" width="97.85546875" customWidth="1"/>
    <col min="9217" max="9217" width="26" customWidth="1"/>
    <col min="9218" max="9218" width="97.85546875" customWidth="1"/>
    <col min="9473" max="9473" width="26" customWidth="1"/>
    <col min="9474" max="9474" width="97.85546875" customWidth="1"/>
    <col min="9729" max="9729" width="26" customWidth="1"/>
    <col min="9730" max="9730" width="97.85546875" customWidth="1"/>
    <col min="9985" max="9985" width="26" customWidth="1"/>
    <col min="9986" max="9986" width="97.85546875" customWidth="1"/>
    <col min="10241" max="10241" width="26" customWidth="1"/>
    <col min="10242" max="10242" width="97.85546875" customWidth="1"/>
    <col min="10497" max="10497" width="26" customWidth="1"/>
    <col min="10498" max="10498" width="97.85546875" customWidth="1"/>
    <col min="10753" max="10753" width="26" customWidth="1"/>
    <col min="10754" max="10754" width="97.85546875" customWidth="1"/>
    <col min="11009" max="11009" width="26" customWidth="1"/>
    <col min="11010" max="11010" width="97.85546875" customWidth="1"/>
    <col min="11265" max="11265" width="26" customWidth="1"/>
    <col min="11266" max="11266" width="97.85546875" customWidth="1"/>
    <col min="11521" max="11521" width="26" customWidth="1"/>
    <col min="11522" max="11522" width="97.85546875" customWidth="1"/>
    <col min="11777" max="11777" width="26" customWidth="1"/>
    <col min="11778" max="11778" width="97.85546875" customWidth="1"/>
    <col min="12033" max="12033" width="26" customWidth="1"/>
    <col min="12034" max="12034" width="97.85546875" customWidth="1"/>
    <col min="12289" max="12289" width="26" customWidth="1"/>
    <col min="12290" max="12290" width="97.85546875" customWidth="1"/>
    <col min="12545" max="12545" width="26" customWidth="1"/>
    <col min="12546" max="12546" width="97.85546875" customWidth="1"/>
    <col min="12801" max="12801" width="26" customWidth="1"/>
    <col min="12802" max="12802" width="97.85546875" customWidth="1"/>
    <col min="13057" max="13057" width="26" customWidth="1"/>
    <col min="13058" max="13058" width="97.85546875" customWidth="1"/>
    <col min="13313" max="13313" width="26" customWidth="1"/>
    <col min="13314" max="13314" width="97.85546875" customWidth="1"/>
    <col min="13569" max="13569" width="26" customWidth="1"/>
    <col min="13570" max="13570" width="97.85546875" customWidth="1"/>
    <col min="13825" max="13825" width="26" customWidth="1"/>
    <col min="13826" max="13826" width="97.85546875" customWidth="1"/>
    <col min="14081" max="14081" width="26" customWidth="1"/>
    <col min="14082" max="14082" width="97.85546875" customWidth="1"/>
    <col min="14337" max="14337" width="26" customWidth="1"/>
    <col min="14338" max="14338" width="97.85546875" customWidth="1"/>
    <col min="14593" max="14593" width="26" customWidth="1"/>
    <col min="14594" max="14594" width="97.85546875" customWidth="1"/>
    <col min="14849" max="14849" width="26" customWidth="1"/>
    <col min="14850" max="14850" width="97.85546875" customWidth="1"/>
    <col min="15105" max="15105" width="26" customWidth="1"/>
    <col min="15106" max="15106" width="97.85546875" customWidth="1"/>
    <col min="15361" max="15361" width="26" customWidth="1"/>
    <col min="15362" max="15362" width="97.85546875" customWidth="1"/>
    <col min="15617" max="15617" width="26" customWidth="1"/>
    <col min="15618" max="15618" width="97.85546875" customWidth="1"/>
    <col min="15873" max="15873" width="26" customWidth="1"/>
    <col min="15874" max="15874" width="97.85546875" customWidth="1"/>
    <col min="16129" max="16129" width="26" customWidth="1"/>
    <col min="16130" max="16130" width="97.85546875" customWidth="1"/>
  </cols>
  <sheetData>
    <row r="1" spans="1:2" ht="20.25" customHeight="1" x14ac:dyDescent="0.25">
      <c r="A1" s="9" t="s">
        <v>691</v>
      </c>
    </row>
    <row r="2" spans="1:2" ht="12" customHeight="1" x14ac:dyDescent="0.25">
      <c r="A2" s="10"/>
    </row>
    <row r="3" spans="1:2" x14ac:dyDescent="0.2">
      <c r="A3" t="s">
        <v>692</v>
      </c>
      <c r="B3" s="2" t="s">
        <v>693</v>
      </c>
    </row>
    <row r="4" spans="1:2" x14ac:dyDescent="0.2">
      <c r="B4" s="2"/>
    </row>
    <row r="5" spans="1:2" x14ac:dyDescent="0.2">
      <c r="A5" t="s">
        <v>694</v>
      </c>
      <c r="B5" s="2" t="s">
        <v>695</v>
      </c>
    </row>
    <row r="6" spans="1:2" x14ac:dyDescent="0.2">
      <c r="B6" s="2" t="s">
        <v>696</v>
      </c>
    </row>
    <row r="7" spans="1:2" x14ac:dyDescent="0.2">
      <c r="B7" s="2" t="s">
        <v>697</v>
      </c>
    </row>
    <row r="8" spans="1:2" x14ac:dyDescent="0.2">
      <c r="B8" s="2"/>
    </row>
    <row r="9" spans="1:2" x14ac:dyDescent="0.2">
      <c r="A9" s="11" t="s">
        <v>698</v>
      </c>
      <c r="B9" s="2"/>
    </row>
    <row r="10" spans="1:2" x14ac:dyDescent="0.2">
      <c r="A10" s="2"/>
      <c r="B10" s="2" t="s">
        <v>699</v>
      </c>
    </row>
    <row r="11" spans="1:2" x14ac:dyDescent="0.2">
      <c r="A11" s="2"/>
      <c r="B11" s="2" t="s">
        <v>700</v>
      </c>
    </row>
    <row r="12" spans="1:2" x14ac:dyDescent="0.2">
      <c r="A12" s="2"/>
      <c r="B12" s="2" t="s">
        <v>701</v>
      </c>
    </row>
    <row r="13" spans="1:2" x14ac:dyDescent="0.2">
      <c r="A13" s="2"/>
      <c r="B13" s="2" t="s">
        <v>702</v>
      </c>
    </row>
    <row r="14" spans="1:2" x14ac:dyDescent="0.2">
      <c r="A14" s="2"/>
      <c r="B14" s="1" t="s">
        <v>703</v>
      </c>
    </row>
    <row r="15" spans="1:2" x14ac:dyDescent="0.2">
      <c r="A15" s="2"/>
      <c r="B15" s="2" t="s">
        <v>704</v>
      </c>
    </row>
    <row r="16" spans="1:2" x14ac:dyDescent="0.2">
      <c r="A16" s="2"/>
      <c r="B16" s="2"/>
    </row>
    <row r="17" spans="1:2" x14ac:dyDescent="0.2">
      <c r="A17" s="11" t="s">
        <v>705</v>
      </c>
      <c r="B17" s="2"/>
    </row>
    <row r="18" spans="1:2" x14ac:dyDescent="0.2">
      <c r="A18" s="2"/>
      <c r="B18" s="2" t="s">
        <v>706</v>
      </c>
    </row>
    <row r="19" spans="1:2" x14ac:dyDescent="0.2">
      <c r="A19" s="2"/>
      <c r="B19" s="2" t="s">
        <v>707</v>
      </c>
    </row>
    <row r="20" spans="1:2" x14ac:dyDescent="0.2">
      <c r="A20" s="2"/>
      <c r="B20" s="2" t="s">
        <v>708</v>
      </c>
    </row>
    <row r="22" spans="1:2" ht="25.5" x14ac:dyDescent="0.2">
      <c r="A22" t="s">
        <v>709</v>
      </c>
      <c r="B22" s="12" t="s">
        <v>710</v>
      </c>
    </row>
    <row r="23" spans="1:2" ht="25.5" x14ac:dyDescent="0.2">
      <c r="B23" s="12" t="s">
        <v>711</v>
      </c>
    </row>
    <row r="24" spans="1:2" x14ac:dyDescent="0.2">
      <c r="B24" t="s">
        <v>712</v>
      </c>
    </row>
    <row r="26" spans="1:2" x14ac:dyDescent="0.2">
      <c r="A26" t="s">
        <v>713</v>
      </c>
      <c r="B26" t="s">
        <v>714</v>
      </c>
    </row>
    <row r="28" spans="1:2" x14ac:dyDescent="0.2">
      <c r="A28" t="s">
        <v>715</v>
      </c>
      <c r="B28" t="s">
        <v>716</v>
      </c>
    </row>
    <row r="29" spans="1:2" x14ac:dyDescent="0.2">
      <c r="B29" t="s">
        <v>717</v>
      </c>
    </row>
    <row r="30" spans="1:2" x14ac:dyDescent="0.2">
      <c r="B30" t="s">
        <v>718</v>
      </c>
    </row>
    <row r="31" spans="1:2" ht="25.5" x14ac:dyDescent="0.2">
      <c r="B31" s="12" t="s">
        <v>719</v>
      </c>
    </row>
    <row r="71" spans="1:2" x14ac:dyDescent="0.2">
      <c r="B71" s="2" t="s">
        <v>720</v>
      </c>
    </row>
    <row r="72" spans="1:2" x14ac:dyDescent="0.2">
      <c r="B72" s="2"/>
    </row>
    <row r="73" spans="1:2" x14ac:dyDescent="0.2">
      <c r="B73" s="2"/>
    </row>
    <row r="75" spans="1:2" x14ac:dyDescent="0.2">
      <c r="A75" t="s">
        <v>721</v>
      </c>
      <c r="B75" t="s">
        <v>722</v>
      </c>
    </row>
    <row r="76" spans="1:2" x14ac:dyDescent="0.2">
      <c r="B76" t="s">
        <v>723</v>
      </c>
    </row>
    <row r="77" spans="1:2" x14ac:dyDescent="0.2">
      <c r="B77" t="s">
        <v>724</v>
      </c>
    </row>
    <row r="79" spans="1:2" x14ac:dyDescent="0.2">
      <c r="A79" t="s">
        <v>725</v>
      </c>
      <c r="B79" t="s">
        <v>726</v>
      </c>
    </row>
    <row r="80" spans="1:2" x14ac:dyDescent="0.2">
      <c r="B80" t="s">
        <v>727</v>
      </c>
    </row>
    <row r="81" spans="1:2" x14ac:dyDescent="0.2">
      <c r="B81" t="s">
        <v>728</v>
      </c>
    </row>
    <row r="82" spans="1:2" x14ac:dyDescent="0.2">
      <c r="B82" t="s">
        <v>729</v>
      </c>
    </row>
    <row r="84" spans="1:2" x14ac:dyDescent="0.2">
      <c r="B84" t="s">
        <v>730</v>
      </c>
    </row>
    <row r="85" spans="1:2" x14ac:dyDescent="0.2">
      <c r="B85" t="s">
        <v>731</v>
      </c>
    </row>
    <row r="86" spans="1:2" x14ac:dyDescent="0.2">
      <c r="B86" t="s">
        <v>732</v>
      </c>
    </row>
    <row r="88" spans="1:2" x14ac:dyDescent="0.2">
      <c r="A88" t="s">
        <v>733</v>
      </c>
      <c r="B88" t="s">
        <v>734</v>
      </c>
    </row>
    <row r="90" spans="1:2" x14ac:dyDescent="0.2">
      <c r="A90" t="s">
        <v>735</v>
      </c>
      <c r="B90" t="s">
        <v>736</v>
      </c>
    </row>
    <row r="91" spans="1:2" x14ac:dyDescent="0.2">
      <c r="B91" s="13" t="s">
        <v>737</v>
      </c>
    </row>
    <row r="93" spans="1:2" x14ac:dyDescent="0.2">
      <c r="A93" t="s">
        <v>738</v>
      </c>
      <c r="B93" t="s">
        <v>739</v>
      </c>
    </row>
    <row r="95" spans="1:2" x14ac:dyDescent="0.2">
      <c r="A95" t="s">
        <v>740</v>
      </c>
      <c r="B95" t="s">
        <v>741</v>
      </c>
    </row>
    <row r="96" spans="1:2" x14ac:dyDescent="0.2">
      <c r="A96" t="s">
        <v>742</v>
      </c>
      <c r="B96" t="s">
        <v>743</v>
      </c>
    </row>
    <row r="97" spans="1:2" x14ac:dyDescent="0.2">
      <c r="B97" t="s">
        <v>744</v>
      </c>
    </row>
    <row r="98" spans="1:2" x14ac:dyDescent="0.2">
      <c r="B98" t="s">
        <v>745</v>
      </c>
    </row>
    <row r="99" spans="1:2" x14ac:dyDescent="0.2">
      <c r="B99" t="s">
        <v>746</v>
      </c>
    </row>
    <row r="101" spans="1:2" x14ac:dyDescent="0.2">
      <c r="A101" s="14" t="s">
        <v>747</v>
      </c>
      <c r="B101" t="s">
        <v>748</v>
      </c>
    </row>
    <row r="102" spans="1:2" x14ac:dyDescent="0.2">
      <c r="A102" s="14"/>
    </row>
    <row r="103" spans="1:2" x14ac:dyDescent="0.2">
      <c r="A103" s="14" t="s">
        <v>749</v>
      </c>
      <c r="B103" t="s">
        <v>750</v>
      </c>
    </row>
    <row r="104" spans="1:2" x14ac:dyDescent="0.2">
      <c r="A104" s="14" t="s">
        <v>751</v>
      </c>
      <c r="B104" t="s">
        <v>752</v>
      </c>
    </row>
    <row r="105" spans="1:2" x14ac:dyDescent="0.2">
      <c r="A105" s="14" t="s">
        <v>753</v>
      </c>
      <c r="B105" t="s">
        <v>754</v>
      </c>
    </row>
    <row r="106" spans="1:2" x14ac:dyDescent="0.2">
      <c r="A106" s="14" t="s">
        <v>755</v>
      </c>
      <c r="B106" t="s">
        <v>756</v>
      </c>
    </row>
    <row r="107" spans="1:2" x14ac:dyDescent="0.2">
      <c r="A107" s="14" t="s">
        <v>757</v>
      </c>
      <c r="B107" t="s">
        <v>758</v>
      </c>
    </row>
    <row r="108" spans="1:2" x14ac:dyDescent="0.2">
      <c r="A108" s="14" t="s">
        <v>759</v>
      </c>
      <c r="B108" t="s">
        <v>760</v>
      </c>
    </row>
    <row r="109" spans="1:2" x14ac:dyDescent="0.2">
      <c r="A109" s="14" t="s">
        <v>761</v>
      </c>
      <c r="B109" t="s">
        <v>690</v>
      </c>
    </row>
    <row r="111" spans="1:2" x14ac:dyDescent="0.2">
      <c r="A111" t="s">
        <v>762</v>
      </c>
      <c r="B111" t="s">
        <v>763</v>
      </c>
    </row>
    <row r="112" spans="1:2" x14ac:dyDescent="0.2">
      <c r="A112" t="s">
        <v>764</v>
      </c>
      <c r="B112" t="s">
        <v>765</v>
      </c>
    </row>
    <row r="113" spans="1:2" x14ac:dyDescent="0.2">
      <c r="A113" t="s">
        <v>766</v>
      </c>
      <c r="B113" t="s">
        <v>767</v>
      </c>
    </row>
    <row r="114" spans="1:2" x14ac:dyDescent="0.2">
      <c r="A114" t="s">
        <v>768</v>
      </c>
      <c r="B114" t="s">
        <v>769</v>
      </c>
    </row>
    <row r="115" spans="1:2" x14ac:dyDescent="0.2">
      <c r="A115" t="s">
        <v>770</v>
      </c>
      <c r="B115" t="s">
        <v>771</v>
      </c>
    </row>
    <row r="116" spans="1:2" x14ac:dyDescent="0.2">
      <c r="A116" t="s">
        <v>772</v>
      </c>
      <c r="B116" t="s">
        <v>773</v>
      </c>
    </row>
    <row r="117" spans="1:2" x14ac:dyDescent="0.2">
      <c r="A117" t="s">
        <v>774</v>
      </c>
      <c r="B117" t="s">
        <v>775</v>
      </c>
    </row>
    <row r="118" spans="1:2" x14ac:dyDescent="0.2">
      <c r="A118" t="s">
        <v>776</v>
      </c>
      <c r="B118" t="s">
        <v>777</v>
      </c>
    </row>
    <row r="120" spans="1:2" x14ac:dyDescent="0.2">
      <c r="A120" t="s">
        <v>778</v>
      </c>
      <c r="B120" t="s">
        <v>779</v>
      </c>
    </row>
    <row r="121" spans="1:2" x14ac:dyDescent="0.2">
      <c r="B121" t="s">
        <v>780</v>
      </c>
    </row>
    <row r="124" spans="1:2" x14ac:dyDescent="0.2">
      <c r="A124" s="3"/>
    </row>
    <row r="125" spans="1:2" x14ac:dyDescent="0.2">
      <c r="A125" s="15"/>
    </row>
    <row r="126" spans="1:2" x14ac:dyDescent="0.2">
      <c r="A126" s="15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CorelDraw.Graphic.10" shapeId="1025" r:id="rId4">
          <objectPr defaultSize="0" autoPict="0" r:id="rId5">
            <anchor moveWithCells="1" sizeWithCells="1">
              <from>
                <xdr:col>1</xdr:col>
                <xdr:colOff>47625</xdr:colOff>
                <xdr:row>31</xdr:row>
                <xdr:rowOff>114300</xdr:rowOff>
              </from>
              <to>
                <xdr:col>1</xdr:col>
                <xdr:colOff>5848350</xdr:colOff>
                <xdr:row>69</xdr:row>
                <xdr:rowOff>9525</xdr:rowOff>
              </to>
            </anchor>
          </objectPr>
        </oleObject>
      </mc:Choice>
      <mc:Fallback>
        <oleObject progId="CorelDraw.Graphic.10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"/>
  <sheetViews>
    <sheetView zoomScale="64" zoomScaleNormal="64" workbookViewId="0">
      <pane xSplit="1" topLeftCell="B1" activePane="topRight" state="frozen"/>
      <selection activeCell="C41" sqref="C41"/>
      <selection pane="topRight" activeCell="B9" sqref="B9"/>
    </sheetView>
  </sheetViews>
  <sheetFormatPr defaultRowHeight="12.75" x14ac:dyDescent="0.2"/>
  <cols>
    <col min="1" max="1" width="11.85546875" customWidth="1"/>
  </cols>
  <sheetData>
    <row r="1" spans="1:45" s="2" customFormat="1" x14ac:dyDescent="0.2">
      <c r="A1" s="5" t="s">
        <v>0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/>
      <c r="M1" s="5" t="s">
        <v>15</v>
      </c>
      <c r="N1" s="5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5" t="s">
        <v>24</v>
      </c>
      <c r="W1" s="5"/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/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/>
    </row>
    <row r="2" spans="1:45" x14ac:dyDescent="0.2">
      <c r="A2" s="3" t="s">
        <v>1</v>
      </c>
      <c r="B2" s="3">
        <v>30</v>
      </c>
      <c r="C2" s="3">
        <v>65</v>
      </c>
      <c r="D2" s="3">
        <v>15</v>
      </c>
      <c r="E2" s="3">
        <v>65</v>
      </c>
      <c r="F2" s="3">
        <v>75</v>
      </c>
      <c r="G2" s="3">
        <v>35</v>
      </c>
      <c r="H2" s="3">
        <v>80</v>
      </c>
      <c r="I2" s="3">
        <v>75</v>
      </c>
      <c r="J2" s="3">
        <v>55</v>
      </c>
      <c r="K2" s="3">
        <v>75</v>
      </c>
      <c r="L2" s="4">
        <f>AVERAGE(B2:K2)</f>
        <v>57</v>
      </c>
      <c r="M2" s="3">
        <v>50</v>
      </c>
      <c r="N2" s="3">
        <v>50</v>
      </c>
      <c r="O2" s="3">
        <v>80</v>
      </c>
      <c r="P2" s="3">
        <v>50</v>
      </c>
      <c r="Q2" s="3">
        <v>70</v>
      </c>
      <c r="R2" s="3">
        <v>45</v>
      </c>
      <c r="S2" s="3">
        <v>60</v>
      </c>
      <c r="T2" s="3">
        <v>65</v>
      </c>
      <c r="U2" s="3">
        <v>70</v>
      </c>
      <c r="V2" s="3">
        <v>65</v>
      </c>
      <c r="W2" s="4">
        <f>AVERAGE(M2:V2)</f>
        <v>60.5</v>
      </c>
      <c r="X2" s="3">
        <v>40</v>
      </c>
      <c r="Y2" s="3">
        <v>65</v>
      </c>
      <c r="Z2" s="3">
        <v>50</v>
      </c>
      <c r="AA2" s="3">
        <v>65</v>
      </c>
      <c r="AB2" s="3">
        <v>30</v>
      </c>
      <c r="AC2" s="3">
        <v>40</v>
      </c>
      <c r="AD2" s="3">
        <v>70</v>
      </c>
      <c r="AE2" s="3">
        <v>65</v>
      </c>
      <c r="AF2" s="3">
        <v>5</v>
      </c>
      <c r="AG2" s="3">
        <v>60</v>
      </c>
      <c r="AH2" s="4">
        <f>AVERAGE(X2:AG2)</f>
        <v>49</v>
      </c>
      <c r="AI2" s="3">
        <v>45</v>
      </c>
      <c r="AJ2" s="3">
        <v>30</v>
      </c>
      <c r="AK2" s="3">
        <v>15</v>
      </c>
      <c r="AL2" s="3">
        <v>70</v>
      </c>
      <c r="AM2" s="3">
        <v>65</v>
      </c>
      <c r="AN2" s="3">
        <v>60</v>
      </c>
      <c r="AO2" s="3">
        <v>65</v>
      </c>
      <c r="AP2" s="3">
        <v>75</v>
      </c>
      <c r="AQ2" s="3">
        <v>75</v>
      </c>
      <c r="AR2" s="3">
        <v>80</v>
      </c>
      <c r="AS2" s="4">
        <f>AVERAGE(AI2:AR2)</f>
        <v>58</v>
      </c>
    </row>
    <row r="3" spans="1:45" x14ac:dyDescent="0.2">
      <c r="A3" s="3" t="s">
        <v>2</v>
      </c>
      <c r="B3" s="3">
        <v>25</v>
      </c>
      <c r="C3" s="3">
        <v>15</v>
      </c>
      <c r="D3" s="3">
        <v>30</v>
      </c>
      <c r="E3" s="3">
        <v>15</v>
      </c>
      <c r="F3" s="3">
        <v>10</v>
      </c>
      <c r="G3" s="3">
        <v>10</v>
      </c>
      <c r="H3" s="3">
        <v>10</v>
      </c>
      <c r="I3" s="3">
        <v>5</v>
      </c>
      <c r="J3" s="3">
        <v>20</v>
      </c>
      <c r="K3" s="3">
        <v>10</v>
      </c>
      <c r="L3" s="4">
        <f>AVERAGE(B3:K3)</f>
        <v>15</v>
      </c>
      <c r="M3" s="3">
        <v>15</v>
      </c>
      <c r="N3" s="3">
        <v>20</v>
      </c>
      <c r="O3" s="3">
        <v>10</v>
      </c>
      <c r="P3" s="3">
        <v>25</v>
      </c>
      <c r="Q3" s="3">
        <v>20</v>
      </c>
      <c r="R3" s="3">
        <v>30</v>
      </c>
      <c r="S3" s="3">
        <v>25</v>
      </c>
      <c r="T3" s="3">
        <v>15</v>
      </c>
      <c r="U3" s="3">
        <v>10</v>
      </c>
      <c r="V3" s="3">
        <v>25</v>
      </c>
      <c r="W3" s="4">
        <f>AVERAGE(M3:V3)</f>
        <v>19.5</v>
      </c>
      <c r="X3" s="3">
        <v>25</v>
      </c>
      <c r="Y3" s="3">
        <v>15</v>
      </c>
      <c r="Z3" s="3">
        <v>30</v>
      </c>
      <c r="AA3" s="3">
        <v>25</v>
      </c>
      <c r="AB3" s="3">
        <v>25</v>
      </c>
      <c r="AC3" s="3">
        <v>30</v>
      </c>
      <c r="AD3" s="3">
        <v>10</v>
      </c>
      <c r="AE3" s="3">
        <v>15</v>
      </c>
      <c r="AF3" s="3">
        <v>35</v>
      </c>
      <c r="AG3" s="3">
        <v>15</v>
      </c>
      <c r="AH3" s="4">
        <f>AVERAGE(X3:AG3)</f>
        <v>22.5</v>
      </c>
      <c r="AI3" s="3">
        <v>20</v>
      </c>
      <c r="AJ3" s="3">
        <v>45</v>
      </c>
      <c r="AK3" s="3">
        <v>30</v>
      </c>
      <c r="AL3" s="3">
        <v>15</v>
      </c>
      <c r="AM3" s="3">
        <v>20</v>
      </c>
      <c r="AN3" s="3">
        <v>10</v>
      </c>
      <c r="AO3" s="3">
        <v>25</v>
      </c>
      <c r="AP3" s="3">
        <v>20</v>
      </c>
      <c r="AQ3" s="3">
        <v>15</v>
      </c>
      <c r="AR3" s="3">
        <v>15</v>
      </c>
      <c r="AS3" s="4">
        <f>AVERAGE(AI3:AR3)</f>
        <v>21.5</v>
      </c>
    </row>
    <row r="4" spans="1:45" x14ac:dyDescent="0.2">
      <c r="A4" s="3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>AVERAGE(B4:K4)</f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4">
        <f>AVERAGE(M4:V4)</f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>AVERAGE(X4:AG4)</f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>AVERAGE(AI4:AR4)</f>
        <v>0</v>
      </c>
    </row>
    <row r="5" spans="1:45" x14ac:dyDescent="0.2">
      <c r="A5" s="16" t="s">
        <v>4</v>
      </c>
      <c r="B5" s="16">
        <v>45</v>
      </c>
      <c r="C5" s="16">
        <v>20</v>
      </c>
      <c r="D5" s="16">
        <v>55</v>
      </c>
      <c r="E5" s="16">
        <v>20</v>
      </c>
      <c r="F5" s="16">
        <v>15</v>
      </c>
      <c r="G5" s="16">
        <v>55</v>
      </c>
      <c r="H5" s="16">
        <v>10</v>
      </c>
      <c r="I5" s="16">
        <v>20</v>
      </c>
      <c r="J5" s="16">
        <v>25</v>
      </c>
      <c r="K5" s="16">
        <v>15</v>
      </c>
      <c r="L5" s="17">
        <f>AVERAGE(B5:K5)</f>
        <v>28</v>
      </c>
      <c r="M5" s="16">
        <v>35</v>
      </c>
      <c r="N5" s="16">
        <v>30</v>
      </c>
      <c r="O5" s="16">
        <v>10</v>
      </c>
      <c r="P5" s="16">
        <v>25</v>
      </c>
      <c r="Q5" s="16">
        <v>10</v>
      </c>
      <c r="R5" s="16">
        <v>25</v>
      </c>
      <c r="S5" s="16">
        <v>15</v>
      </c>
      <c r="T5" s="16">
        <v>20</v>
      </c>
      <c r="U5" s="16">
        <v>20</v>
      </c>
      <c r="V5" s="16">
        <v>10</v>
      </c>
      <c r="W5" s="17">
        <f>AVERAGE(M5:V5)</f>
        <v>20</v>
      </c>
      <c r="X5" s="16">
        <v>35</v>
      </c>
      <c r="Y5" s="16">
        <v>20</v>
      </c>
      <c r="Z5" s="16">
        <v>20</v>
      </c>
      <c r="AA5" s="16">
        <v>10</v>
      </c>
      <c r="AB5" s="16">
        <v>45</v>
      </c>
      <c r="AC5" s="16">
        <v>30</v>
      </c>
      <c r="AD5" s="16">
        <v>20</v>
      </c>
      <c r="AE5" s="16">
        <v>20</v>
      </c>
      <c r="AF5" s="16">
        <v>60</v>
      </c>
      <c r="AG5" s="16">
        <v>25</v>
      </c>
      <c r="AH5" s="17">
        <f>AVERAGE(X5:AG5)</f>
        <v>28.5</v>
      </c>
      <c r="AI5" s="16">
        <v>35</v>
      </c>
      <c r="AJ5" s="16">
        <v>25</v>
      </c>
      <c r="AK5" s="16">
        <v>55</v>
      </c>
      <c r="AL5" s="16">
        <v>15</v>
      </c>
      <c r="AM5" s="16">
        <v>15</v>
      </c>
      <c r="AN5" s="16">
        <v>30</v>
      </c>
      <c r="AO5" s="16">
        <v>10</v>
      </c>
      <c r="AP5" s="16">
        <v>5</v>
      </c>
      <c r="AQ5" s="16">
        <v>10</v>
      </c>
      <c r="AR5" s="16">
        <v>5</v>
      </c>
      <c r="AS5" s="17">
        <f>AVERAGE(AI5:AR5)</f>
        <v>20.5</v>
      </c>
    </row>
    <row r="6" spans="1:45" x14ac:dyDescent="0.2">
      <c r="A6" s="3"/>
      <c r="B6" s="3">
        <f t="shared" ref="B6:AS6" si="0">SUM(B2:B5)</f>
        <v>100</v>
      </c>
      <c r="C6" s="3">
        <f t="shared" si="0"/>
        <v>100</v>
      </c>
      <c r="D6" s="3">
        <f t="shared" si="0"/>
        <v>100</v>
      </c>
      <c r="E6" s="3">
        <f t="shared" si="0"/>
        <v>100</v>
      </c>
      <c r="F6" s="3">
        <f t="shared" si="0"/>
        <v>100</v>
      </c>
      <c r="G6" s="3">
        <f t="shared" si="0"/>
        <v>100</v>
      </c>
      <c r="H6" s="3">
        <f t="shared" si="0"/>
        <v>100</v>
      </c>
      <c r="I6" s="3">
        <f t="shared" si="0"/>
        <v>100</v>
      </c>
      <c r="J6" s="3">
        <f t="shared" si="0"/>
        <v>100</v>
      </c>
      <c r="K6" s="3">
        <f t="shared" si="0"/>
        <v>100</v>
      </c>
      <c r="L6" s="4">
        <f t="shared" si="0"/>
        <v>100</v>
      </c>
      <c r="M6" s="3">
        <f t="shared" si="0"/>
        <v>100</v>
      </c>
      <c r="N6" s="3">
        <f t="shared" si="0"/>
        <v>100</v>
      </c>
      <c r="O6" s="3">
        <f t="shared" si="0"/>
        <v>100</v>
      </c>
      <c r="P6" s="3">
        <f t="shared" si="0"/>
        <v>100</v>
      </c>
      <c r="Q6" s="3">
        <f t="shared" si="0"/>
        <v>100</v>
      </c>
      <c r="R6" s="3">
        <f t="shared" si="0"/>
        <v>100</v>
      </c>
      <c r="S6" s="3">
        <f t="shared" si="0"/>
        <v>100</v>
      </c>
      <c r="T6" s="3">
        <f t="shared" si="0"/>
        <v>100</v>
      </c>
      <c r="U6" s="3">
        <f t="shared" si="0"/>
        <v>100</v>
      </c>
      <c r="V6" s="3">
        <f t="shared" si="0"/>
        <v>100</v>
      </c>
      <c r="W6" s="4">
        <f t="shared" si="0"/>
        <v>100</v>
      </c>
      <c r="X6" s="3">
        <f t="shared" si="0"/>
        <v>100</v>
      </c>
      <c r="Y6" s="3">
        <f t="shared" si="0"/>
        <v>100</v>
      </c>
      <c r="Z6" s="3">
        <f t="shared" si="0"/>
        <v>100</v>
      </c>
      <c r="AA6" s="3">
        <f t="shared" si="0"/>
        <v>100</v>
      </c>
      <c r="AB6" s="3">
        <f t="shared" si="0"/>
        <v>100</v>
      </c>
      <c r="AC6" s="3">
        <f t="shared" si="0"/>
        <v>100</v>
      </c>
      <c r="AD6" s="3">
        <f t="shared" si="0"/>
        <v>100</v>
      </c>
      <c r="AE6" s="3">
        <f t="shared" si="0"/>
        <v>100</v>
      </c>
      <c r="AF6" s="3">
        <f t="shared" si="0"/>
        <v>100</v>
      </c>
      <c r="AG6" s="3">
        <f t="shared" si="0"/>
        <v>100</v>
      </c>
      <c r="AH6" s="4">
        <f t="shared" si="0"/>
        <v>100</v>
      </c>
      <c r="AI6" s="3">
        <f t="shared" si="0"/>
        <v>100</v>
      </c>
      <c r="AJ6" s="3">
        <f t="shared" si="0"/>
        <v>100</v>
      </c>
      <c r="AK6" s="3">
        <f t="shared" si="0"/>
        <v>100</v>
      </c>
      <c r="AL6" s="3">
        <f t="shared" si="0"/>
        <v>100</v>
      </c>
      <c r="AM6" s="3">
        <f t="shared" si="0"/>
        <v>100</v>
      </c>
      <c r="AN6" s="3">
        <f t="shared" si="0"/>
        <v>100</v>
      </c>
      <c r="AO6" s="3">
        <f t="shared" si="0"/>
        <v>100</v>
      </c>
      <c r="AP6" s="3">
        <f t="shared" si="0"/>
        <v>100</v>
      </c>
      <c r="AQ6" s="3">
        <f t="shared" si="0"/>
        <v>100</v>
      </c>
      <c r="AR6" s="3">
        <f t="shared" si="0"/>
        <v>100</v>
      </c>
      <c r="AS6" s="4">
        <f t="shared" si="0"/>
        <v>100</v>
      </c>
    </row>
    <row r="7" spans="1:45" x14ac:dyDescent="0.2">
      <c r="A7" s="2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C41" sqref="C41"/>
      <selection pane="topRight" activeCell="B13" sqref="B13"/>
    </sheetView>
  </sheetViews>
  <sheetFormatPr defaultRowHeight="12.75" x14ac:dyDescent="0.2"/>
  <cols>
    <col min="1" max="1" width="12.42578125" customWidth="1"/>
  </cols>
  <sheetData>
    <row r="1" spans="1:45" x14ac:dyDescent="0.2">
      <c r="A1" s="4" t="s">
        <v>0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/>
      <c r="M1" s="4" t="s">
        <v>55</v>
      </c>
      <c r="N1" s="4" t="s">
        <v>56</v>
      </c>
      <c r="O1" s="4" t="s">
        <v>57</v>
      </c>
      <c r="P1" s="4" t="s">
        <v>58</v>
      </c>
      <c r="Q1" s="4" t="s">
        <v>59</v>
      </c>
      <c r="R1" s="4" t="s">
        <v>60</v>
      </c>
      <c r="S1" s="4" t="s">
        <v>61</v>
      </c>
      <c r="T1" s="4" t="s">
        <v>62</v>
      </c>
      <c r="U1" s="4" t="s">
        <v>63</v>
      </c>
      <c r="V1" s="4" t="s">
        <v>64</v>
      </c>
      <c r="W1" s="4"/>
      <c r="X1" s="4" t="s">
        <v>65</v>
      </c>
      <c r="Y1" s="4" t="s">
        <v>66</v>
      </c>
      <c r="Z1" s="4" t="s">
        <v>67</v>
      </c>
      <c r="AA1" s="4" t="s">
        <v>68</v>
      </c>
      <c r="AB1" s="4" t="s">
        <v>69</v>
      </c>
      <c r="AC1" s="4" t="s">
        <v>70</v>
      </c>
      <c r="AD1" s="4" t="s">
        <v>71</v>
      </c>
      <c r="AE1" s="4" t="s">
        <v>72</v>
      </c>
      <c r="AF1" s="4" t="s">
        <v>73</v>
      </c>
      <c r="AG1" s="4" t="s">
        <v>74</v>
      </c>
      <c r="AH1" s="4"/>
      <c r="AI1" s="4" t="s">
        <v>75</v>
      </c>
      <c r="AJ1" s="4" t="s">
        <v>76</v>
      </c>
      <c r="AK1" s="4" t="s">
        <v>77</v>
      </c>
      <c r="AL1" s="4" t="s">
        <v>78</v>
      </c>
      <c r="AM1" s="4" t="s">
        <v>79</v>
      </c>
      <c r="AN1" s="4" t="s">
        <v>80</v>
      </c>
      <c r="AO1" s="4" t="s">
        <v>81</v>
      </c>
      <c r="AP1" s="4" t="s">
        <v>82</v>
      </c>
      <c r="AQ1" s="4" t="s">
        <v>83</v>
      </c>
      <c r="AR1" s="4" t="s">
        <v>84</v>
      </c>
      <c r="AS1" s="4"/>
    </row>
    <row r="2" spans="1:45" x14ac:dyDescent="0.2">
      <c r="A2" s="3" t="s">
        <v>1</v>
      </c>
      <c r="B2" s="3">
        <v>70</v>
      </c>
      <c r="C2" s="3">
        <v>70</v>
      </c>
      <c r="D2" s="3">
        <v>65</v>
      </c>
      <c r="E2" s="3">
        <v>80</v>
      </c>
      <c r="F2" s="3">
        <v>65</v>
      </c>
      <c r="G2" s="3">
        <v>40</v>
      </c>
      <c r="H2" s="3">
        <v>45</v>
      </c>
      <c r="I2" s="3">
        <v>35</v>
      </c>
      <c r="J2" s="3">
        <v>45</v>
      </c>
      <c r="K2" s="3">
        <v>5</v>
      </c>
      <c r="L2" s="4">
        <f>AVERAGE(B2:K2)</f>
        <v>52</v>
      </c>
      <c r="M2" s="3">
        <v>65</v>
      </c>
      <c r="N2" s="3">
        <v>50</v>
      </c>
      <c r="O2" s="3">
        <v>70</v>
      </c>
      <c r="P2" s="3">
        <v>65</v>
      </c>
      <c r="Q2" s="3">
        <v>70</v>
      </c>
      <c r="R2" s="3">
        <v>50</v>
      </c>
      <c r="S2" s="3">
        <v>55</v>
      </c>
      <c r="T2" s="3">
        <v>50</v>
      </c>
      <c r="U2" s="3">
        <v>55</v>
      </c>
      <c r="V2" s="3">
        <v>45</v>
      </c>
      <c r="W2" s="4">
        <f t="shared" ref="W2:W8" si="0">AVERAGE(M2:V2)</f>
        <v>57.5</v>
      </c>
      <c r="X2" s="3">
        <v>55</v>
      </c>
      <c r="Y2" s="3">
        <v>65</v>
      </c>
      <c r="Z2" s="3">
        <v>55</v>
      </c>
      <c r="AA2" s="3">
        <v>55</v>
      </c>
      <c r="AB2" s="3">
        <v>30</v>
      </c>
      <c r="AC2" s="3">
        <v>65</v>
      </c>
      <c r="AD2" s="3">
        <v>65</v>
      </c>
      <c r="AE2" s="3">
        <v>50</v>
      </c>
      <c r="AF2" s="3">
        <v>65</v>
      </c>
      <c r="AG2" s="3">
        <v>25</v>
      </c>
      <c r="AH2" s="4">
        <f t="shared" ref="AH2:AH8" si="1">AVERAGE(X2:AG2)</f>
        <v>53</v>
      </c>
      <c r="AI2" s="3">
        <v>35</v>
      </c>
      <c r="AJ2" s="3">
        <v>55</v>
      </c>
      <c r="AK2" s="3">
        <v>25</v>
      </c>
      <c r="AL2" s="3">
        <v>30</v>
      </c>
      <c r="AM2" s="3">
        <v>55</v>
      </c>
      <c r="AN2" s="3">
        <v>55</v>
      </c>
      <c r="AO2" s="3">
        <v>15</v>
      </c>
      <c r="AP2" s="3">
        <v>60</v>
      </c>
      <c r="AQ2" s="3">
        <v>50</v>
      </c>
      <c r="AR2" s="3">
        <v>60</v>
      </c>
      <c r="AS2" s="4">
        <f t="shared" ref="AS2:AS8" si="2">AVERAGE(AI2:AR2)</f>
        <v>44</v>
      </c>
    </row>
    <row r="3" spans="1:45" x14ac:dyDescent="0.2">
      <c r="A3" s="3" t="s">
        <v>2</v>
      </c>
      <c r="B3" s="3">
        <v>15</v>
      </c>
      <c r="C3" s="3">
        <v>15</v>
      </c>
      <c r="D3" s="3">
        <v>15</v>
      </c>
      <c r="E3" s="3">
        <v>15</v>
      </c>
      <c r="F3" s="3">
        <v>25</v>
      </c>
      <c r="G3" s="3">
        <v>15</v>
      </c>
      <c r="H3" s="3">
        <v>40</v>
      </c>
      <c r="I3" s="3">
        <v>15</v>
      </c>
      <c r="J3" s="3">
        <v>20</v>
      </c>
      <c r="K3" s="3">
        <v>60</v>
      </c>
      <c r="L3" s="4">
        <f>AVERAGE(B3:K3)</f>
        <v>23.5</v>
      </c>
      <c r="M3" s="3">
        <v>20</v>
      </c>
      <c r="N3" s="3">
        <v>15</v>
      </c>
      <c r="O3" s="3">
        <v>10</v>
      </c>
      <c r="P3" s="3">
        <v>20</v>
      </c>
      <c r="Q3" s="3">
        <v>5</v>
      </c>
      <c r="R3" s="3">
        <v>15</v>
      </c>
      <c r="S3" s="3">
        <v>15</v>
      </c>
      <c r="T3" s="3">
        <v>20</v>
      </c>
      <c r="U3" s="3">
        <v>30</v>
      </c>
      <c r="V3" s="3">
        <v>35</v>
      </c>
      <c r="W3" s="4">
        <f t="shared" si="0"/>
        <v>18.5</v>
      </c>
      <c r="X3" s="3">
        <v>25</v>
      </c>
      <c r="Y3" s="3">
        <v>10</v>
      </c>
      <c r="Z3" s="3">
        <v>10</v>
      </c>
      <c r="AA3" s="3">
        <v>15</v>
      </c>
      <c r="AB3" s="3">
        <v>5</v>
      </c>
      <c r="AC3" s="3">
        <v>5</v>
      </c>
      <c r="AD3" s="3">
        <v>10</v>
      </c>
      <c r="AE3" s="3">
        <v>20</v>
      </c>
      <c r="AF3" s="3">
        <v>15</v>
      </c>
      <c r="AG3" s="3">
        <v>40</v>
      </c>
      <c r="AH3" s="4">
        <f t="shared" si="1"/>
        <v>15.5</v>
      </c>
      <c r="AI3" s="3">
        <v>30</v>
      </c>
      <c r="AJ3" s="3">
        <v>20</v>
      </c>
      <c r="AK3" s="3">
        <v>40</v>
      </c>
      <c r="AL3" s="3">
        <v>20</v>
      </c>
      <c r="AM3" s="3">
        <v>20</v>
      </c>
      <c r="AN3" s="3">
        <v>20</v>
      </c>
      <c r="AO3" s="3">
        <v>45</v>
      </c>
      <c r="AP3" s="3">
        <v>15</v>
      </c>
      <c r="AQ3" s="3">
        <v>20</v>
      </c>
      <c r="AR3" s="3">
        <v>20</v>
      </c>
      <c r="AS3" s="4">
        <f t="shared" si="2"/>
        <v>25</v>
      </c>
    </row>
    <row r="4" spans="1:45" x14ac:dyDescent="0.2">
      <c r="A4" s="3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>AVERAGE(B4:K4)</f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15</v>
      </c>
      <c r="T4" s="3">
        <v>0</v>
      </c>
      <c r="U4" s="3">
        <v>0</v>
      </c>
      <c r="V4" s="3">
        <v>5</v>
      </c>
      <c r="W4" s="4">
        <f t="shared" si="0"/>
        <v>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 t="shared" si="1"/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 t="shared" si="2"/>
        <v>0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10</v>
      </c>
      <c r="H5" s="3">
        <v>0</v>
      </c>
      <c r="I5" s="3">
        <v>0</v>
      </c>
      <c r="J5" s="3">
        <v>0</v>
      </c>
      <c r="K5" s="3">
        <v>25</v>
      </c>
      <c r="L5" s="4">
        <f t="shared" ref="L5:L8" si="3">AVERAGE(B5:K5)</f>
        <v>3.5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0"/>
        <v>0</v>
      </c>
      <c r="X5" s="3">
        <v>0</v>
      </c>
      <c r="Y5" s="3">
        <v>0</v>
      </c>
      <c r="Z5" s="3">
        <v>0</v>
      </c>
      <c r="AA5" s="3">
        <v>0</v>
      </c>
      <c r="AB5" s="3">
        <v>45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1"/>
        <v>4.5</v>
      </c>
      <c r="AI5" s="3">
        <v>0</v>
      </c>
      <c r="AJ5" s="3">
        <v>0</v>
      </c>
      <c r="AK5" s="3">
        <v>0</v>
      </c>
      <c r="AL5" s="3">
        <v>35</v>
      </c>
      <c r="AM5" s="3">
        <v>0</v>
      </c>
      <c r="AN5" s="3">
        <v>5</v>
      </c>
      <c r="AO5" s="3">
        <v>5</v>
      </c>
      <c r="AP5" s="3">
        <v>15</v>
      </c>
      <c r="AQ5" s="3">
        <v>0</v>
      </c>
      <c r="AR5" s="3">
        <v>0</v>
      </c>
      <c r="AS5" s="4">
        <f t="shared" si="2"/>
        <v>6</v>
      </c>
    </row>
    <row r="6" spans="1:45" x14ac:dyDescent="0.2">
      <c r="A6" s="3" t="s">
        <v>685</v>
      </c>
      <c r="B6" s="3">
        <v>5</v>
      </c>
      <c r="C6" s="3">
        <v>5</v>
      </c>
      <c r="D6" s="3">
        <v>10</v>
      </c>
      <c r="E6" s="3">
        <v>5</v>
      </c>
      <c r="F6" s="3">
        <v>5</v>
      </c>
      <c r="G6" s="3">
        <v>10</v>
      </c>
      <c r="H6" s="3">
        <v>0</v>
      </c>
      <c r="I6" s="3">
        <v>15</v>
      </c>
      <c r="J6" s="3">
        <v>10</v>
      </c>
      <c r="K6" s="3">
        <v>5</v>
      </c>
      <c r="L6" s="4">
        <f t="shared" si="3"/>
        <v>7</v>
      </c>
      <c r="M6" s="3">
        <v>5</v>
      </c>
      <c r="N6" s="3">
        <v>15</v>
      </c>
      <c r="O6" s="3">
        <v>0</v>
      </c>
      <c r="P6" s="3">
        <v>5</v>
      </c>
      <c r="Q6" s="3">
        <v>20</v>
      </c>
      <c r="R6" s="3">
        <v>10</v>
      </c>
      <c r="S6" s="3">
        <v>5</v>
      </c>
      <c r="T6" s="3">
        <v>0</v>
      </c>
      <c r="U6" s="3">
        <v>0</v>
      </c>
      <c r="V6" s="3">
        <v>0</v>
      </c>
      <c r="W6" s="4">
        <f t="shared" si="0"/>
        <v>6</v>
      </c>
      <c r="X6" s="3">
        <v>5</v>
      </c>
      <c r="Y6" s="3">
        <v>20</v>
      </c>
      <c r="Z6" s="3">
        <v>20</v>
      </c>
      <c r="AA6" s="3">
        <v>15</v>
      </c>
      <c r="AB6" s="3">
        <v>15</v>
      </c>
      <c r="AC6" s="3">
        <v>20</v>
      </c>
      <c r="AD6" s="3">
        <v>15</v>
      </c>
      <c r="AE6" s="3">
        <v>15</v>
      </c>
      <c r="AF6" s="3">
        <v>0</v>
      </c>
      <c r="AG6" s="3">
        <v>15</v>
      </c>
      <c r="AH6" s="4">
        <f t="shared" si="1"/>
        <v>14</v>
      </c>
      <c r="AI6" s="3">
        <v>5</v>
      </c>
      <c r="AJ6" s="3">
        <v>10</v>
      </c>
      <c r="AK6" s="3">
        <v>10</v>
      </c>
      <c r="AL6" s="3">
        <v>5</v>
      </c>
      <c r="AM6" s="3">
        <v>15</v>
      </c>
      <c r="AN6" s="3">
        <v>10</v>
      </c>
      <c r="AO6" s="3">
        <v>5</v>
      </c>
      <c r="AP6" s="3">
        <v>5</v>
      </c>
      <c r="AQ6" s="3">
        <v>5</v>
      </c>
      <c r="AR6" s="3">
        <v>5</v>
      </c>
      <c r="AS6" s="4">
        <f t="shared" si="2"/>
        <v>7.5</v>
      </c>
    </row>
    <row r="7" spans="1:45" x14ac:dyDescent="0.2">
      <c r="A7" t="s">
        <v>688</v>
      </c>
      <c r="B7">
        <v>10</v>
      </c>
      <c r="C7">
        <v>10</v>
      </c>
      <c r="D7">
        <v>10</v>
      </c>
      <c r="E7">
        <v>0</v>
      </c>
      <c r="F7">
        <v>0</v>
      </c>
      <c r="G7">
        <v>25</v>
      </c>
      <c r="H7">
        <v>10</v>
      </c>
      <c r="I7">
        <v>35</v>
      </c>
      <c r="J7">
        <v>25</v>
      </c>
      <c r="K7">
        <v>5</v>
      </c>
      <c r="L7" s="4">
        <f t="shared" si="3"/>
        <v>13</v>
      </c>
      <c r="M7">
        <v>0</v>
      </c>
      <c r="N7">
        <v>15</v>
      </c>
      <c r="O7">
        <v>15</v>
      </c>
      <c r="P7">
        <v>5</v>
      </c>
      <c r="Q7">
        <v>5</v>
      </c>
      <c r="R7">
        <v>20</v>
      </c>
      <c r="S7">
        <v>10</v>
      </c>
      <c r="T7">
        <v>20</v>
      </c>
      <c r="U7">
        <v>10</v>
      </c>
      <c r="V7">
        <v>10</v>
      </c>
      <c r="W7" s="1">
        <f t="shared" si="0"/>
        <v>11</v>
      </c>
      <c r="X7">
        <v>15</v>
      </c>
      <c r="Y7">
        <v>5</v>
      </c>
      <c r="Z7">
        <v>15</v>
      </c>
      <c r="AA7">
        <v>15</v>
      </c>
      <c r="AB7">
        <v>5</v>
      </c>
      <c r="AC7">
        <v>10</v>
      </c>
      <c r="AD7">
        <v>10</v>
      </c>
      <c r="AE7">
        <v>15</v>
      </c>
      <c r="AF7" s="3">
        <v>15</v>
      </c>
      <c r="AG7">
        <v>15</v>
      </c>
      <c r="AH7" s="1">
        <f t="shared" si="1"/>
        <v>12</v>
      </c>
      <c r="AI7">
        <v>25</v>
      </c>
      <c r="AJ7">
        <v>10</v>
      </c>
      <c r="AK7">
        <v>25</v>
      </c>
      <c r="AL7">
        <v>10</v>
      </c>
      <c r="AM7">
        <v>10</v>
      </c>
      <c r="AN7">
        <v>5</v>
      </c>
      <c r="AO7">
        <v>30</v>
      </c>
      <c r="AP7">
        <v>0</v>
      </c>
      <c r="AQ7">
        <v>20</v>
      </c>
      <c r="AR7">
        <v>15</v>
      </c>
      <c r="AS7" s="1">
        <f t="shared" si="2"/>
        <v>15</v>
      </c>
    </row>
    <row r="8" spans="1:45" x14ac:dyDescent="0.2">
      <c r="A8" s="18" t="s">
        <v>690</v>
      </c>
      <c r="B8" s="18">
        <v>0</v>
      </c>
      <c r="C8" s="18">
        <v>0</v>
      </c>
      <c r="D8" s="18">
        <v>0</v>
      </c>
      <c r="E8" s="18">
        <v>0</v>
      </c>
      <c r="F8" s="18">
        <v>5</v>
      </c>
      <c r="G8" s="18">
        <v>0</v>
      </c>
      <c r="H8" s="18">
        <v>5</v>
      </c>
      <c r="I8" s="18">
        <v>0</v>
      </c>
      <c r="J8" s="18">
        <v>0</v>
      </c>
      <c r="K8" s="18">
        <v>0</v>
      </c>
      <c r="L8" s="17">
        <f t="shared" si="3"/>
        <v>1</v>
      </c>
      <c r="M8" s="18">
        <v>10</v>
      </c>
      <c r="N8" s="18">
        <v>5</v>
      </c>
      <c r="O8" s="18">
        <v>5</v>
      </c>
      <c r="P8" s="18">
        <v>5</v>
      </c>
      <c r="Q8" s="18">
        <v>0</v>
      </c>
      <c r="R8" s="18">
        <v>5</v>
      </c>
      <c r="S8" s="18">
        <v>0</v>
      </c>
      <c r="T8" s="18">
        <v>10</v>
      </c>
      <c r="U8" s="18">
        <v>5</v>
      </c>
      <c r="V8" s="18">
        <v>5</v>
      </c>
      <c r="W8" s="19">
        <f t="shared" si="0"/>
        <v>5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6">
        <v>5</v>
      </c>
      <c r="AG8" s="18">
        <v>5</v>
      </c>
      <c r="AH8" s="19">
        <f t="shared" si="1"/>
        <v>1</v>
      </c>
      <c r="AI8" s="18">
        <v>5</v>
      </c>
      <c r="AJ8" s="18">
        <v>5</v>
      </c>
      <c r="AK8" s="18">
        <v>0</v>
      </c>
      <c r="AL8" s="18">
        <v>0</v>
      </c>
      <c r="AM8" s="18">
        <v>0</v>
      </c>
      <c r="AN8" s="18">
        <v>5</v>
      </c>
      <c r="AO8" s="18">
        <v>0</v>
      </c>
      <c r="AP8" s="18">
        <v>5</v>
      </c>
      <c r="AQ8" s="18">
        <v>5</v>
      </c>
      <c r="AR8" s="18">
        <v>0</v>
      </c>
      <c r="AS8" s="19">
        <f t="shared" si="2"/>
        <v>2.5</v>
      </c>
    </row>
    <row r="9" spans="1:45" x14ac:dyDescent="0.2">
      <c r="B9">
        <f t="shared" ref="B9:AS9" si="4">SUM(B2:B8)</f>
        <v>100</v>
      </c>
      <c r="C9">
        <f t="shared" si="4"/>
        <v>100</v>
      </c>
      <c r="D9">
        <f t="shared" si="4"/>
        <v>100</v>
      </c>
      <c r="E9">
        <f t="shared" si="4"/>
        <v>100</v>
      </c>
      <c r="F9">
        <f t="shared" si="4"/>
        <v>100</v>
      </c>
      <c r="G9">
        <f t="shared" si="4"/>
        <v>100</v>
      </c>
      <c r="H9">
        <f t="shared" si="4"/>
        <v>100</v>
      </c>
      <c r="I9">
        <f t="shared" si="4"/>
        <v>100</v>
      </c>
      <c r="J9">
        <f t="shared" si="4"/>
        <v>100</v>
      </c>
      <c r="K9">
        <f t="shared" si="4"/>
        <v>100</v>
      </c>
      <c r="L9" s="4">
        <f t="shared" si="4"/>
        <v>100</v>
      </c>
      <c r="M9">
        <f t="shared" si="4"/>
        <v>100</v>
      </c>
      <c r="N9">
        <f t="shared" si="4"/>
        <v>100</v>
      </c>
      <c r="O9">
        <f t="shared" si="4"/>
        <v>100</v>
      </c>
      <c r="P9">
        <f t="shared" si="4"/>
        <v>100</v>
      </c>
      <c r="Q9">
        <f t="shared" si="4"/>
        <v>100</v>
      </c>
      <c r="R9">
        <f t="shared" si="4"/>
        <v>100</v>
      </c>
      <c r="S9">
        <f t="shared" si="4"/>
        <v>100</v>
      </c>
      <c r="T9">
        <f t="shared" si="4"/>
        <v>100</v>
      </c>
      <c r="U9">
        <f t="shared" si="4"/>
        <v>100</v>
      </c>
      <c r="V9">
        <f t="shared" si="4"/>
        <v>100</v>
      </c>
      <c r="W9" s="1">
        <f t="shared" si="4"/>
        <v>100</v>
      </c>
      <c r="X9">
        <f t="shared" si="4"/>
        <v>100</v>
      </c>
      <c r="Y9">
        <f t="shared" si="4"/>
        <v>100</v>
      </c>
      <c r="Z9">
        <f t="shared" si="4"/>
        <v>100</v>
      </c>
      <c r="AA9">
        <f t="shared" si="4"/>
        <v>100</v>
      </c>
      <c r="AB9">
        <f t="shared" si="4"/>
        <v>100</v>
      </c>
      <c r="AC9">
        <f t="shared" si="4"/>
        <v>100</v>
      </c>
      <c r="AD9">
        <f t="shared" si="4"/>
        <v>100</v>
      </c>
      <c r="AE9">
        <f t="shared" si="4"/>
        <v>100</v>
      </c>
      <c r="AF9" s="3">
        <f t="shared" si="4"/>
        <v>100</v>
      </c>
      <c r="AG9">
        <f t="shared" si="4"/>
        <v>100</v>
      </c>
      <c r="AH9" s="1">
        <f t="shared" si="4"/>
        <v>100</v>
      </c>
      <c r="AI9">
        <f t="shared" si="4"/>
        <v>100</v>
      </c>
      <c r="AJ9">
        <f t="shared" si="4"/>
        <v>100</v>
      </c>
      <c r="AK9">
        <f t="shared" si="4"/>
        <v>100</v>
      </c>
      <c r="AL9">
        <f t="shared" si="4"/>
        <v>100</v>
      </c>
      <c r="AM9">
        <f t="shared" si="4"/>
        <v>100</v>
      </c>
      <c r="AN9">
        <f t="shared" si="4"/>
        <v>100</v>
      </c>
      <c r="AO9">
        <f t="shared" si="4"/>
        <v>100</v>
      </c>
      <c r="AP9">
        <f t="shared" si="4"/>
        <v>100</v>
      </c>
      <c r="AQ9">
        <f t="shared" si="4"/>
        <v>100</v>
      </c>
      <c r="AR9">
        <f t="shared" si="4"/>
        <v>100</v>
      </c>
      <c r="AS9" s="1">
        <f t="shared" si="4"/>
        <v>100</v>
      </c>
    </row>
  </sheetData>
  <phoneticPr fontId="0" type="noConversion"/>
  <pageMargins left="0.75" right="0.75" top="1" bottom="1" header="0.5" footer="0.5"/>
  <headerFooter alignWithMargins="0"/>
  <ignoredErrors>
    <ignoredError sqref="AH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H18" sqref="H18"/>
      <selection pane="topRight" activeCell="B12" sqref="B12"/>
    </sheetView>
  </sheetViews>
  <sheetFormatPr defaultRowHeight="12.75" x14ac:dyDescent="0.2"/>
  <cols>
    <col min="1" max="1" width="12.7109375" customWidth="1"/>
  </cols>
  <sheetData>
    <row r="1" spans="1:45" s="1" customFormat="1" x14ac:dyDescent="0.2">
      <c r="A1" s="4" t="s">
        <v>0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92</v>
      </c>
      <c r="J1" s="4" t="s">
        <v>93</v>
      </c>
      <c r="K1" s="4" t="s">
        <v>94</v>
      </c>
      <c r="L1" s="4"/>
      <c r="M1" s="4" t="s">
        <v>95</v>
      </c>
      <c r="N1" s="4" t="s">
        <v>96</v>
      </c>
      <c r="O1" s="4" t="s">
        <v>97</v>
      </c>
      <c r="P1" s="4" t="s">
        <v>98</v>
      </c>
      <c r="Q1" s="4" t="s">
        <v>99</v>
      </c>
      <c r="R1" s="4" t="s">
        <v>100</v>
      </c>
      <c r="S1" s="4" t="s">
        <v>101</v>
      </c>
      <c r="T1" s="4" t="s">
        <v>102</v>
      </c>
      <c r="U1" s="4" t="s">
        <v>103</v>
      </c>
      <c r="V1" s="4" t="s">
        <v>104</v>
      </c>
      <c r="W1" s="4"/>
      <c r="X1" s="4" t="s">
        <v>105</v>
      </c>
      <c r="Y1" s="4" t="s">
        <v>106</v>
      </c>
      <c r="Z1" s="4" t="s">
        <v>107</v>
      </c>
      <c r="AA1" s="4" t="s">
        <v>108</v>
      </c>
      <c r="AB1" s="4" t="s">
        <v>109</v>
      </c>
      <c r="AC1" s="4" t="s">
        <v>110</v>
      </c>
      <c r="AD1" s="4" t="s">
        <v>111</v>
      </c>
      <c r="AE1" s="4" t="s">
        <v>112</v>
      </c>
      <c r="AF1" s="4" t="s">
        <v>113</v>
      </c>
      <c r="AG1" s="4" t="s">
        <v>114</v>
      </c>
      <c r="AH1" s="4"/>
      <c r="AI1" s="4" t="s">
        <v>115</v>
      </c>
      <c r="AJ1" s="4" t="s">
        <v>116</v>
      </c>
      <c r="AK1" s="4" t="s">
        <v>117</v>
      </c>
      <c r="AL1" s="4" t="s">
        <v>118</v>
      </c>
      <c r="AM1" s="4" t="s">
        <v>119</v>
      </c>
      <c r="AN1" s="4" t="s">
        <v>120</v>
      </c>
      <c r="AO1" s="4" t="s">
        <v>121</v>
      </c>
      <c r="AP1" s="4" t="s">
        <v>122</v>
      </c>
      <c r="AQ1" s="4" t="s">
        <v>123</v>
      </c>
      <c r="AR1" s="4" t="s">
        <v>124</v>
      </c>
      <c r="AS1" s="4"/>
    </row>
    <row r="2" spans="1:45" x14ac:dyDescent="0.2">
      <c r="A2" s="3" t="s">
        <v>1</v>
      </c>
      <c r="B2" s="3">
        <v>25</v>
      </c>
      <c r="C2" s="3">
        <v>60</v>
      </c>
      <c r="D2" s="3">
        <v>80</v>
      </c>
      <c r="E2" s="3">
        <v>50</v>
      </c>
      <c r="F2" s="3">
        <v>45</v>
      </c>
      <c r="G2" s="3">
        <v>55</v>
      </c>
      <c r="H2" s="3">
        <v>45</v>
      </c>
      <c r="I2" s="3">
        <v>55</v>
      </c>
      <c r="J2" s="3">
        <v>75</v>
      </c>
      <c r="K2" s="3">
        <v>50</v>
      </c>
      <c r="L2" s="4">
        <f t="shared" ref="L2:L8" si="0">AVERAGE(B2:K2)</f>
        <v>54</v>
      </c>
      <c r="M2" s="3">
        <v>25</v>
      </c>
      <c r="N2" s="3">
        <v>35</v>
      </c>
      <c r="O2" s="3">
        <v>60</v>
      </c>
      <c r="P2" s="3">
        <v>30</v>
      </c>
      <c r="Q2" s="3">
        <v>40</v>
      </c>
      <c r="R2" s="3">
        <v>20</v>
      </c>
      <c r="S2" s="3">
        <v>30</v>
      </c>
      <c r="T2" s="3">
        <v>35</v>
      </c>
      <c r="U2" s="3">
        <v>5</v>
      </c>
      <c r="V2" s="3">
        <v>20</v>
      </c>
      <c r="W2" s="4">
        <f t="shared" ref="W2:W8" si="1">AVERAGE(M2:V2)</f>
        <v>30</v>
      </c>
      <c r="X2" s="3">
        <v>40</v>
      </c>
      <c r="Y2" s="3">
        <v>60</v>
      </c>
      <c r="Z2" s="3">
        <v>70</v>
      </c>
      <c r="AA2" s="3">
        <v>30</v>
      </c>
      <c r="AB2" s="3">
        <v>50</v>
      </c>
      <c r="AC2" s="3">
        <v>50</v>
      </c>
      <c r="AD2" s="3">
        <v>20</v>
      </c>
      <c r="AE2" s="3">
        <v>60</v>
      </c>
      <c r="AF2" s="3">
        <v>25</v>
      </c>
      <c r="AG2" s="3">
        <v>50</v>
      </c>
      <c r="AH2" s="4">
        <f t="shared" ref="AH2:AH8" si="2">AVERAGE(X2:AG2)</f>
        <v>45.5</v>
      </c>
      <c r="AI2" s="3">
        <v>85</v>
      </c>
      <c r="AJ2" s="3">
        <v>55</v>
      </c>
      <c r="AK2" s="3">
        <v>60</v>
      </c>
      <c r="AL2" s="3">
        <v>50</v>
      </c>
      <c r="AM2" s="3">
        <v>50</v>
      </c>
      <c r="AN2" s="3">
        <v>35</v>
      </c>
      <c r="AO2" s="3">
        <v>25</v>
      </c>
      <c r="AP2" s="3">
        <v>35</v>
      </c>
      <c r="AQ2" s="3">
        <v>50</v>
      </c>
      <c r="AR2" s="3">
        <v>50</v>
      </c>
      <c r="AS2" s="4">
        <f t="shared" ref="AS2:AS8" si="3">AVERAGE(AI2:AR2)</f>
        <v>49.5</v>
      </c>
    </row>
    <row r="3" spans="1:45" x14ac:dyDescent="0.2">
      <c r="A3" s="3" t="s">
        <v>2</v>
      </c>
      <c r="B3" s="3">
        <v>10</v>
      </c>
      <c r="C3" s="3">
        <v>15</v>
      </c>
      <c r="D3" s="3">
        <v>5</v>
      </c>
      <c r="E3" s="3">
        <v>10</v>
      </c>
      <c r="F3" s="3">
        <v>10</v>
      </c>
      <c r="G3" s="3">
        <v>10</v>
      </c>
      <c r="H3" s="3">
        <v>30</v>
      </c>
      <c r="I3" s="3">
        <v>10</v>
      </c>
      <c r="J3" s="3">
        <v>10</v>
      </c>
      <c r="K3" s="3">
        <v>20</v>
      </c>
      <c r="L3" s="4">
        <f t="shared" si="0"/>
        <v>13</v>
      </c>
      <c r="M3" s="3">
        <v>10</v>
      </c>
      <c r="N3" s="3">
        <v>10</v>
      </c>
      <c r="O3" s="3">
        <v>15</v>
      </c>
      <c r="P3" s="3">
        <v>30</v>
      </c>
      <c r="Q3" s="3">
        <v>25</v>
      </c>
      <c r="R3" s="3">
        <v>35</v>
      </c>
      <c r="S3" s="3">
        <v>40</v>
      </c>
      <c r="T3" s="3">
        <v>25</v>
      </c>
      <c r="U3" s="3">
        <v>35</v>
      </c>
      <c r="V3" s="3">
        <v>0</v>
      </c>
      <c r="W3" s="4">
        <f t="shared" si="1"/>
        <v>22.5</v>
      </c>
      <c r="X3" s="3">
        <v>5</v>
      </c>
      <c r="Y3" s="3">
        <v>5</v>
      </c>
      <c r="Z3" s="3">
        <v>5</v>
      </c>
      <c r="AA3" s="3">
        <v>60</v>
      </c>
      <c r="AB3" s="3">
        <v>40</v>
      </c>
      <c r="AC3" s="3">
        <v>30</v>
      </c>
      <c r="AD3" s="3">
        <v>70</v>
      </c>
      <c r="AE3" s="3">
        <v>25</v>
      </c>
      <c r="AF3" s="3">
        <v>65</v>
      </c>
      <c r="AG3" s="3">
        <v>40</v>
      </c>
      <c r="AH3" s="4">
        <f t="shared" si="2"/>
        <v>34.5</v>
      </c>
      <c r="AI3" s="3">
        <v>0</v>
      </c>
      <c r="AJ3" s="3">
        <v>5</v>
      </c>
      <c r="AK3" s="3">
        <v>10</v>
      </c>
      <c r="AL3" s="3">
        <v>15</v>
      </c>
      <c r="AM3" s="3">
        <v>15</v>
      </c>
      <c r="AN3" s="3">
        <v>15</v>
      </c>
      <c r="AO3" s="3">
        <v>0</v>
      </c>
      <c r="AP3" s="3">
        <v>10</v>
      </c>
      <c r="AQ3" s="3">
        <v>15</v>
      </c>
      <c r="AR3" s="3">
        <v>10</v>
      </c>
      <c r="AS3" s="4">
        <f t="shared" si="3"/>
        <v>9.5</v>
      </c>
    </row>
    <row r="4" spans="1:45" x14ac:dyDescent="0.2">
      <c r="A4" s="3" t="s">
        <v>3</v>
      </c>
      <c r="B4" s="3">
        <v>15</v>
      </c>
      <c r="C4" s="3">
        <v>5</v>
      </c>
      <c r="D4" s="3">
        <v>5</v>
      </c>
      <c r="E4" s="3">
        <v>5</v>
      </c>
      <c r="F4" s="3">
        <v>10</v>
      </c>
      <c r="G4" s="3">
        <v>5</v>
      </c>
      <c r="H4" s="3">
        <v>5</v>
      </c>
      <c r="I4" s="3">
        <v>5</v>
      </c>
      <c r="J4" s="3">
        <v>10</v>
      </c>
      <c r="K4" s="3">
        <v>10</v>
      </c>
      <c r="L4" s="4">
        <f t="shared" si="0"/>
        <v>7.5</v>
      </c>
      <c r="M4" s="3">
        <v>30</v>
      </c>
      <c r="N4" s="3">
        <v>15</v>
      </c>
      <c r="O4" s="3">
        <v>0</v>
      </c>
      <c r="P4" s="3">
        <v>0</v>
      </c>
      <c r="Q4" s="3">
        <v>0</v>
      </c>
      <c r="R4" s="3">
        <v>10</v>
      </c>
      <c r="S4" s="3">
        <v>0</v>
      </c>
      <c r="T4" s="3">
        <v>5</v>
      </c>
      <c r="U4" s="3">
        <v>5</v>
      </c>
      <c r="V4" s="3">
        <v>50</v>
      </c>
      <c r="W4" s="4">
        <f t="shared" si="1"/>
        <v>11.5</v>
      </c>
      <c r="X4" s="3">
        <v>20</v>
      </c>
      <c r="Y4" s="3">
        <v>20</v>
      </c>
      <c r="Z4" s="3">
        <v>5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5</v>
      </c>
      <c r="AG4" s="3">
        <v>0</v>
      </c>
      <c r="AH4" s="4">
        <f t="shared" si="2"/>
        <v>5</v>
      </c>
      <c r="AI4" s="3">
        <v>5</v>
      </c>
      <c r="AJ4" s="3">
        <v>5</v>
      </c>
      <c r="AK4" s="3">
        <v>5</v>
      </c>
      <c r="AL4" s="3">
        <v>5</v>
      </c>
      <c r="AM4" s="3">
        <v>5</v>
      </c>
      <c r="AN4" s="3">
        <v>0</v>
      </c>
      <c r="AO4" s="3">
        <v>5</v>
      </c>
      <c r="AP4" s="3">
        <v>40</v>
      </c>
      <c r="AQ4" s="3">
        <v>0</v>
      </c>
      <c r="AR4" s="3">
        <v>0</v>
      </c>
      <c r="AS4" s="4">
        <f t="shared" si="3"/>
        <v>7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30</v>
      </c>
      <c r="V5" s="3">
        <v>0</v>
      </c>
      <c r="W5" s="4">
        <f t="shared" si="1"/>
        <v>3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685</v>
      </c>
      <c r="B6" s="3">
        <v>25</v>
      </c>
      <c r="C6" s="3">
        <v>5</v>
      </c>
      <c r="D6" s="3">
        <v>0</v>
      </c>
      <c r="E6" s="3">
        <v>0</v>
      </c>
      <c r="F6" s="3">
        <v>0</v>
      </c>
      <c r="G6" s="3">
        <v>0</v>
      </c>
      <c r="H6" s="3">
        <v>5</v>
      </c>
      <c r="I6" s="3">
        <v>5</v>
      </c>
      <c r="J6" s="3">
        <v>0</v>
      </c>
      <c r="K6" s="3">
        <v>10</v>
      </c>
      <c r="L6" s="4">
        <f t="shared" si="0"/>
        <v>5</v>
      </c>
      <c r="M6" s="3">
        <v>0</v>
      </c>
      <c r="N6" s="3">
        <v>10</v>
      </c>
      <c r="O6" s="3">
        <v>0</v>
      </c>
      <c r="P6" s="3">
        <v>0</v>
      </c>
      <c r="Q6" s="3">
        <v>0</v>
      </c>
      <c r="R6" s="3">
        <v>0</v>
      </c>
      <c r="S6" s="3">
        <v>5</v>
      </c>
      <c r="T6" s="3">
        <v>0</v>
      </c>
      <c r="U6" s="3">
        <v>5</v>
      </c>
      <c r="V6" s="3">
        <v>5</v>
      </c>
      <c r="W6" s="4">
        <f t="shared" si="1"/>
        <v>2.5</v>
      </c>
      <c r="X6" s="3">
        <v>5</v>
      </c>
      <c r="Y6" s="3">
        <v>0</v>
      </c>
      <c r="Z6" s="3">
        <v>0</v>
      </c>
      <c r="AA6" s="3">
        <v>0</v>
      </c>
      <c r="AB6" s="3">
        <v>0</v>
      </c>
      <c r="AC6" s="3">
        <v>10</v>
      </c>
      <c r="AD6" s="3">
        <v>0</v>
      </c>
      <c r="AE6" s="3">
        <v>0</v>
      </c>
      <c r="AF6" s="3">
        <v>0</v>
      </c>
      <c r="AG6" s="3">
        <v>0</v>
      </c>
      <c r="AH6" s="4">
        <f t="shared" si="2"/>
        <v>1.5</v>
      </c>
      <c r="AI6" s="3">
        <v>0</v>
      </c>
      <c r="AJ6" s="3">
        <v>15</v>
      </c>
      <c r="AK6" s="3">
        <v>15</v>
      </c>
      <c r="AL6" s="3">
        <v>10</v>
      </c>
      <c r="AM6" s="3">
        <v>20</v>
      </c>
      <c r="AN6" s="3">
        <v>40</v>
      </c>
      <c r="AO6" s="3">
        <v>15</v>
      </c>
      <c r="AP6" s="3">
        <v>5</v>
      </c>
      <c r="AQ6" s="3">
        <v>10</v>
      </c>
      <c r="AR6" s="3">
        <v>10</v>
      </c>
      <c r="AS6" s="4">
        <f t="shared" si="3"/>
        <v>14</v>
      </c>
    </row>
    <row r="7" spans="1:45" x14ac:dyDescent="0.2">
      <c r="A7" t="s">
        <v>688</v>
      </c>
      <c r="B7">
        <v>25</v>
      </c>
      <c r="C7">
        <v>10</v>
      </c>
      <c r="D7">
        <v>5</v>
      </c>
      <c r="E7">
        <v>30</v>
      </c>
      <c r="F7">
        <v>35</v>
      </c>
      <c r="G7">
        <v>25</v>
      </c>
      <c r="H7">
        <v>10</v>
      </c>
      <c r="I7">
        <v>20</v>
      </c>
      <c r="J7">
        <v>0</v>
      </c>
      <c r="K7">
        <v>10</v>
      </c>
      <c r="L7" s="4">
        <f t="shared" si="0"/>
        <v>17</v>
      </c>
      <c r="M7">
        <v>30</v>
      </c>
      <c r="N7">
        <v>25</v>
      </c>
      <c r="O7">
        <v>20</v>
      </c>
      <c r="P7">
        <v>40</v>
      </c>
      <c r="Q7">
        <v>35</v>
      </c>
      <c r="R7">
        <v>35</v>
      </c>
      <c r="S7">
        <v>25</v>
      </c>
      <c r="T7">
        <v>35</v>
      </c>
      <c r="U7">
        <v>20</v>
      </c>
      <c r="V7">
        <v>20</v>
      </c>
      <c r="W7" s="1">
        <f t="shared" si="1"/>
        <v>28.5</v>
      </c>
      <c r="X7">
        <v>30</v>
      </c>
      <c r="Y7">
        <v>10</v>
      </c>
      <c r="Z7">
        <v>15</v>
      </c>
      <c r="AA7">
        <v>10</v>
      </c>
      <c r="AB7">
        <v>10</v>
      </c>
      <c r="AC7">
        <v>10</v>
      </c>
      <c r="AD7">
        <v>10</v>
      </c>
      <c r="AE7">
        <v>15</v>
      </c>
      <c r="AF7">
        <v>5</v>
      </c>
      <c r="AG7">
        <v>10</v>
      </c>
      <c r="AH7" s="1">
        <f t="shared" si="2"/>
        <v>12.5</v>
      </c>
      <c r="AI7">
        <v>5</v>
      </c>
      <c r="AJ7">
        <v>20</v>
      </c>
      <c r="AK7">
        <v>10</v>
      </c>
      <c r="AL7">
        <v>20</v>
      </c>
      <c r="AM7">
        <v>10</v>
      </c>
      <c r="AN7">
        <v>10</v>
      </c>
      <c r="AO7">
        <v>55</v>
      </c>
      <c r="AP7">
        <v>10</v>
      </c>
      <c r="AQ7">
        <v>20</v>
      </c>
      <c r="AR7">
        <v>30</v>
      </c>
      <c r="AS7" s="1">
        <f t="shared" si="3"/>
        <v>19</v>
      </c>
    </row>
    <row r="8" spans="1:45" x14ac:dyDescent="0.2">
      <c r="A8" s="20" t="s">
        <v>690</v>
      </c>
      <c r="B8" s="20">
        <v>0</v>
      </c>
      <c r="C8" s="20">
        <v>5</v>
      </c>
      <c r="D8" s="20">
        <v>5</v>
      </c>
      <c r="E8" s="20">
        <v>5</v>
      </c>
      <c r="F8" s="20">
        <v>0</v>
      </c>
      <c r="G8" s="20">
        <v>5</v>
      </c>
      <c r="H8" s="20">
        <v>5</v>
      </c>
      <c r="I8" s="20">
        <v>5</v>
      </c>
      <c r="J8" s="20">
        <v>5</v>
      </c>
      <c r="K8" s="20">
        <v>0</v>
      </c>
      <c r="L8" s="17">
        <f t="shared" si="0"/>
        <v>3.5</v>
      </c>
      <c r="M8" s="20">
        <v>5</v>
      </c>
      <c r="N8" s="20">
        <v>5</v>
      </c>
      <c r="O8" s="20">
        <v>5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5</v>
      </c>
      <c r="W8" s="19">
        <f t="shared" si="1"/>
        <v>2</v>
      </c>
      <c r="X8" s="20">
        <v>0</v>
      </c>
      <c r="Y8" s="20">
        <v>5</v>
      </c>
      <c r="Z8" s="20">
        <v>5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0</v>
      </c>
      <c r="AG8" s="20">
        <v>0</v>
      </c>
      <c r="AH8" s="19">
        <f t="shared" si="2"/>
        <v>1</v>
      </c>
      <c r="AI8" s="20">
        <v>5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5</v>
      </c>
      <c r="AR8" s="20">
        <v>0</v>
      </c>
      <c r="AS8" s="19">
        <f t="shared" si="3"/>
        <v>1</v>
      </c>
    </row>
    <row r="9" spans="1:45" x14ac:dyDescent="0.2">
      <c r="B9">
        <f t="shared" ref="B9:AH9" si="4">SUM(B2:B8)</f>
        <v>100</v>
      </c>
      <c r="C9">
        <f t="shared" si="4"/>
        <v>100</v>
      </c>
      <c r="D9">
        <f t="shared" si="4"/>
        <v>100</v>
      </c>
      <c r="E9">
        <f t="shared" si="4"/>
        <v>100</v>
      </c>
      <c r="F9">
        <f t="shared" si="4"/>
        <v>100</v>
      </c>
      <c r="G9">
        <f t="shared" si="4"/>
        <v>100</v>
      </c>
      <c r="H9">
        <f t="shared" si="4"/>
        <v>100</v>
      </c>
      <c r="I9">
        <f t="shared" si="4"/>
        <v>100</v>
      </c>
      <c r="J9">
        <f t="shared" si="4"/>
        <v>100</v>
      </c>
      <c r="K9">
        <f t="shared" si="4"/>
        <v>100</v>
      </c>
      <c r="L9" s="4">
        <f t="shared" si="4"/>
        <v>100</v>
      </c>
      <c r="M9">
        <f t="shared" si="4"/>
        <v>100</v>
      </c>
      <c r="N9">
        <f t="shared" si="4"/>
        <v>100</v>
      </c>
      <c r="O9">
        <f t="shared" si="4"/>
        <v>100</v>
      </c>
      <c r="P9">
        <f t="shared" si="4"/>
        <v>100</v>
      </c>
      <c r="Q9">
        <f t="shared" si="4"/>
        <v>100</v>
      </c>
      <c r="R9">
        <f t="shared" si="4"/>
        <v>100</v>
      </c>
      <c r="S9">
        <f t="shared" si="4"/>
        <v>100</v>
      </c>
      <c r="T9">
        <f t="shared" si="4"/>
        <v>100</v>
      </c>
      <c r="U9">
        <f t="shared" si="4"/>
        <v>100</v>
      </c>
      <c r="V9">
        <f t="shared" si="4"/>
        <v>100</v>
      </c>
      <c r="W9" s="1">
        <f t="shared" si="4"/>
        <v>100</v>
      </c>
      <c r="X9">
        <f t="shared" si="4"/>
        <v>100</v>
      </c>
      <c r="Y9">
        <f t="shared" si="4"/>
        <v>100</v>
      </c>
      <c r="Z9">
        <f t="shared" si="4"/>
        <v>100</v>
      </c>
      <c r="AA9">
        <f t="shared" si="4"/>
        <v>100</v>
      </c>
      <c r="AB9">
        <f t="shared" si="4"/>
        <v>100</v>
      </c>
      <c r="AC9">
        <f t="shared" si="4"/>
        <v>100</v>
      </c>
      <c r="AD9">
        <f t="shared" si="4"/>
        <v>100</v>
      </c>
      <c r="AE9">
        <f t="shared" si="4"/>
        <v>100</v>
      </c>
      <c r="AF9">
        <f t="shared" si="4"/>
        <v>100</v>
      </c>
      <c r="AG9">
        <f t="shared" si="4"/>
        <v>100</v>
      </c>
      <c r="AH9" s="1">
        <f t="shared" si="4"/>
        <v>100</v>
      </c>
      <c r="AI9">
        <f t="shared" ref="AI9:AS9" si="5">SUM(AI2:AI8)</f>
        <v>100</v>
      </c>
      <c r="AJ9">
        <f t="shared" si="5"/>
        <v>100</v>
      </c>
      <c r="AK9">
        <f t="shared" si="5"/>
        <v>100</v>
      </c>
      <c r="AL9">
        <f t="shared" si="5"/>
        <v>100</v>
      </c>
      <c r="AM9">
        <f t="shared" si="5"/>
        <v>100</v>
      </c>
      <c r="AN9">
        <f t="shared" si="5"/>
        <v>100</v>
      </c>
      <c r="AO9">
        <f t="shared" si="5"/>
        <v>100</v>
      </c>
      <c r="AP9">
        <f t="shared" si="5"/>
        <v>100</v>
      </c>
      <c r="AQ9">
        <f t="shared" si="5"/>
        <v>100</v>
      </c>
      <c r="AR9">
        <f t="shared" si="5"/>
        <v>100</v>
      </c>
      <c r="AS9" s="1">
        <f t="shared" si="5"/>
        <v>100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"/>
  <sheetViews>
    <sheetView zoomScale="64" zoomScaleNormal="64" workbookViewId="0">
      <pane xSplit="1" topLeftCell="B1" activePane="topRight" state="frozen"/>
      <selection activeCell="H18" sqref="H18"/>
      <selection pane="topRight" activeCell="B13" sqref="B13"/>
    </sheetView>
  </sheetViews>
  <sheetFormatPr defaultRowHeight="12.75" x14ac:dyDescent="0.2"/>
  <cols>
    <col min="1" max="1" width="12" customWidth="1"/>
  </cols>
  <sheetData>
    <row r="1" spans="1:45" s="1" customFormat="1" x14ac:dyDescent="0.2">
      <c r="A1" s="4" t="s">
        <v>0</v>
      </c>
      <c r="B1" s="4" t="s">
        <v>125</v>
      </c>
      <c r="C1" s="4" t="s">
        <v>126</v>
      </c>
      <c r="D1" s="4" t="s">
        <v>127</v>
      </c>
      <c r="E1" s="4" t="s">
        <v>128</v>
      </c>
      <c r="F1" s="4" t="s">
        <v>129</v>
      </c>
      <c r="G1" s="4" t="s">
        <v>130</v>
      </c>
      <c r="H1" s="4" t="s">
        <v>131</v>
      </c>
      <c r="I1" s="4" t="s">
        <v>132</v>
      </c>
      <c r="J1" s="4" t="s">
        <v>133</v>
      </c>
      <c r="K1" s="4" t="s">
        <v>134</v>
      </c>
      <c r="L1" s="4"/>
      <c r="M1" s="4" t="s">
        <v>135</v>
      </c>
      <c r="N1" s="4" t="s">
        <v>136</v>
      </c>
      <c r="O1" s="4" t="s">
        <v>137</v>
      </c>
      <c r="P1" s="4" t="s">
        <v>138</v>
      </c>
      <c r="Q1" s="4" t="s">
        <v>139</v>
      </c>
      <c r="R1" s="4" t="s">
        <v>140</v>
      </c>
      <c r="S1" s="4" t="s">
        <v>141</v>
      </c>
      <c r="T1" s="4" t="s">
        <v>142</v>
      </c>
      <c r="U1" s="4" t="s">
        <v>143</v>
      </c>
      <c r="V1" s="4" t="s">
        <v>144</v>
      </c>
      <c r="W1" s="4"/>
      <c r="X1" s="4" t="s">
        <v>145</v>
      </c>
      <c r="Y1" s="4" t="s">
        <v>146</v>
      </c>
      <c r="Z1" s="4" t="s">
        <v>147</v>
      </c>
      <c r="AA1" s="4" t="s">
        <v>148</v>
      </c>
      <c r="AB1" s="4" t="s">
        <v>149</v>
      </c>
      <c r="AC1" s="4" t="s">
        <v>150</v>
      </c>
      <c r="AD1" s="4" t="s">
        <v>151</v>
      </c>
      <c r="AE1" s="4" t="s">
        <v>152</v>
      </c>
      <c r="AF1" s="4" t="s">
        <v>153</v>
      </c>
      <c r="AG1" s="4" t="s">
        <v>154</v>
      </c>
      <c r="AH1" s="4"/>
      <c r="AI1" s="4" t="s">
        <v>155</v>
      </c>
      <c r="AJ1" s="4" t="s">
        <v>156</v>
      </c>
      <c r="AK1" s="4" t="s">
        <v>157</v>
      </c>
      <c r="AL1" s="4" t="s">
        <v>158</v>
      </c>
      <c r="AM1" s="4" t="s">
        <v>159</v>
      </c>
      <c r="AN1" s="4" t="s">
        <v>160</v>
      </c>
      <c r="AO1" s="4" t="s">
        <v>161</v>
      </c>
      <c r="AP1" s="4" t="s">
        <v>162</v>
      </c>
      <c r="AQ1" s="4" t="s">
        <v>163</v>
      </c>
      <c r="AR1" s="4" t="s">
        <v>164</v>
      </c>
      <c r="AS1" s="4"/>
    </row>
    <row r="2" spans="1:45" x14ac:dyDescent="0.2">
      <c r="A2" s="3" t="s">
        <v>1</v>
      </c>
      <c r="B2" s="3">
        <v>65</v>
      </c>
      <c r="C2" s="3">
        <v>20</v>
      </c>
      <c r="D2" s="3">
        <v>30</v>
      </c>
      <c r="E2" s="3">
        <v>35</v>
      </c>
      <c r="F2" s="3">
        <v>10</v>
      </c>
      <c r="G2" s="3">
        <v>5</v>
      </c>
      <c r="H2" s="3">
        <v>65</v>
      </c>
      <c r="I2" s="3">
        <v>60</v>
      </c>
      <c r="J2" s="3">
        <v>20</v>
      </c>
      <c r="K2" s="3">
        <v>60</v>
      </c>
      <c r="L2" s="4">
        <f t="shared" ref="L2:L8" si="0">AVERAGE(B2:K2)</f>
        <v>37</v>
      </c>
      <c r="M2" s="3">
        <v>55</v>
      </c>
      <c r="N2" s="3">
        <v>35</v>
      </c>
      <c r="O2" s="3">
        <v>55</v>
      </c>
      <c r="P2" s="3">
        <v>35</v>
      </c>
      <c r="Q2" s="3">
        <v>55</v>
      </c>
      <c r="R2" s="3">
        <v>40</v>
      </c>
      <c r="S2" s="3">
        <v>20</v>
      </c>
      <c r="T2" s="3">
        <v>20</v>
      </c>
      <c r="U2" s="3">
        <v>65</v>
      </c>
      <c r="V2" s="3">
        <v>65</v>
      </c>
      <c r="W2" s="4">
        <f t="shared" ref="W2:W8" si="1">AVERAGE(M2:V2)</f>
        <v>44.5</v>
      </c>
      <c r="X2" s="3">
        <v>45</v>
      </c>
      <c r="Y2" s="3">
        <v>25</v>
      </c>
      <c r="Z2" s="3">
        <v>70</v>
      </c>
      <c r="AA2" s="3">
        <v>40</v>
      </c>
      <c r="AB2" s="3">
        <v>35</v>
      </c>
      <c r="AC2" s="3">
        <v>25</v>
      </c>
      <c r="AD2" s="3">
        <v>30</v>
      </c>
      <c r="AE2" s="3">
        <v>30</v>
      </c>
      <c r="AF2" s="3">
        <v>60</v>
      </c>
      <c r="AG2" s="3">
        <v>45</v>
      </c>
      <c r="AH2" s="4">
        <f t="shared" ref="AH2:AH8" si="2">AVERAGE(X2:AG2)</f>
        <v>40.5</v>
      </c>
      <c r="AI2" s="3">
        <v>30</v>
      </c>
      <c r="AJ2" s="3">
        <v>30</v>
      </c>
      <c r="AK2" s="3">
        <v>15</v>
      </c>
      <c r="AL2" s="3">
        <v>35</v>
      </c>
      <c r="AM2" s="3">
        <v>20</v>
      </c>
      <c r="AN2" s="3">
        <v>25</v>
      </c>
      <c r="AO2" s="3">
        <v>25</v>
      </c>
      <c r="AP2" s="3">
        <v>25</v>
      </c>
      <c r="AQ2" s="3">
        <v>5</v>
      </c>
      <c r="AR2" s="3">
        <v>30</v>
      </c>
      <c r="AS2" s="4">
        <f t="shared" ref="AS2:AS8" si="3">AVERAGE(AI2:AR2)</f>
        <v>24</v>
      </c>
    </row>
    <row r="3" spans="1:45" x14ac:dyDescent="0.2">
      <c r="A3" s="3" t="s">
        <v>2</v>
      </c>
      <c r="B3" s="3">
        <v>10</v>
      </c>
      <c r="C3" s="3">
        <v>50</v>
      </c>
      <c r="D3" s="3">
        <v>10</v>
      </c>
      <c r="E3" s="3">
        <v>15</v>
      </c>
      <c r="F3" s="3">
        <v>5</v>
      </c>
      <c r="G3" s="3">
        <v>5</v>
      </c>
      <c r="H3" s="3">
        <v>5</v>
      </c>
      <c r="I3" s="3">
        <v>5</v>
      </c>
      <c r="J3" s="3">
        <v>15</v>
      </c>
      <c r="K3" s="3">
        <v>10</v>
      </c>
      <c r="L3" s="4">
        <f t="shared" si="0"/>
        <v>13</v>
      </c>
      <c r="M3" s="3">
        <v>15</v>
      </c>
      <c r="N3" s="3">
        <v>10</v>
      </c>
      <c r="O3" s="3">
        <v>10</v>
      </c>
      <c r="P3" s="3">
        <v>10</v>
      </c>
      <c r="Q3" s="3">
        <v>20</v>
      </c>
      <c r="R3" s="3">
        <v>10</v>
      </c>
      <c r="S3" s="3">
        <v>15</v>
      </c>
      <c r="T3" s="3">
        <v>10</v>
      </c>
      <c r="U3" s="3">
        <v>10</v>
      </c>
      <c r="V3" s="3">
        <v>15</v>
      </c>
      <c r="W3" s="4">
        <f t="shared" si="1"/>
        <v>12.5</v>
      </c>
      <c r="X3" s="3">
        <v>5</v>
      </c>
      <c r="Y3" s="3">
        <v>5</v>
      </c>
      <c r="Z3" s="3">
        <v>5</v>
      </c>
      <c r="AA3" s="3">
        <v>5</v>
      </c>
      <c r="AB3" s="3">
        <v>15</v>
      </c>
      <c r="AC3" s="3">
        <v>15</v>
      </c>
      <c r="AD3" s="3">
        <v>20</v>
      </c>
      <c r="AE3" s="3">
        <v>10</v>
      </c>
      <c r="AF3" s="3">
        <v>5</v>
      </c>
      <c r="AG3" s="3">
        <v>5</v>
      </c>
      <c r="AH3" s="4">
        <f t="shared" si="2"/>
        <v>9</v>
      </c>
      <c r="AI3" s="3">
        <v>5</v>
      </c>
      <c r="AJ3" s="3">
        <v>0</v>
      </c>
      <c r="AK3" s="3">
        <v>10</v>
      </c>
      <c r="AL3" s="3">
        <v>10</v>
      </c>
      <c r="AM3" s="3">
        <v>15</v>
      </c>
      <c r="AN3" s="3">
        <v>25</v>
      </c>
      <c r="AO3" s="3">
        <v>10</v>
      </c>
      <c r="AP3" s="3">
        <v>10</v>
      </c>
      <c r="AQ3" s="3">
        <v>35</v>
      </c>
      <c r="AR3" s="3">
        <v>15</v>
      </c>
      <c r="AS3" s="4">
        <f t="shared" si="3"/>
        <v>13.5</v>
      </c>
    </row>
    <row r="4" spans="1:45" x14ac:dyDescent="0.2">
      <c r="A4" s="3" t="s">
        <v>3</v>
      </c>
      <c r="B4" s="3">
        <v>0</v>
      </c>
      <c r="C4" s="3">
        <v>0</v>
      </c>
      <c r="D4" s="3">
        <v>0</v>
      </c>
      <c r="E4" s="3">
        <v>10</v>
      </c>
      <c r="F4" s="3">
        <v>25</v>
      </c>
      <c r="G4" s="3">
        <v>25</v>
      </c>
      <c r="H4" s="3">
        <v>10</v>
      </c>
      <c r="I4" s="3">
        <v>0</v>
      </c>
      <c r="J4" s="3">
        <v>5</v>
      </c>
      <c r="K4" s="3">
        <v>10</v>
      </c>
      <c r="L4" s="4">
        <f t="shared" si="0"/>
        <v>8.5</v>
      </c>
      <c r="M4" s="3">
        <v>5</v>
      </c>
      <c r="N4" s="3">
        <v>30</v>
      </c>
      <c r="O4" s="3">
        <v>5</v>
      </c>
      <c r="P4" s="3">
        <v>15</v>
      </c>
      <c r="Q4" s="3">
        <v>0</v>
      </c>
      <c r="R4" s="3">
        <v>0</v>
      </c>
      <c r="S4" s="3">
        <v>10</v>
      </c>
      <c r="T4" s="3">
        <v>30</v>
      </c>
      <c r="U4" s="3">
        <v>0</v>
      </c>
      <c r="V4" s="3">
        <v>0</v>
      </c>
      <c r="W4" s="4">
        <f t="shared" si="1"/>
        <v>9.5</v>
      </c>
      <c r="X4" s="3">
        <v>0</v>
      </c>
      <c r="Y4" s="3">
        <v>0</v>
      </c>
      <c r="Z4" s="3">
        <v>5</v>
      </c>
      <c r="AA4" s="3">
        <v>0</v>
      </c>
      <c r="AB4" s="3">
        <v>0</v>
      </c>
      <c r="AC4" s="3">
        <v>0</v>
      </c>
      <c r="AD4" s="3">
        <v>0</v>
      </c>
      <c r="AE4" s="3">
        <v>15</v>
      </c>
      <c r="AF4" s="3">
        <v>0</v>
      </c>
      <c r="AG4" s="3">
        <v>0</v>
      </c>
      <c r="AH4" s="4">
        <f t="shared" si="2"/>
        <v>2</v>
      </c>
      <c r="AI4" s="3">
        <v>15</v>
      </c>
      <c r="AJ4" s="3">
        <v>20</v>
      </c>
      <c r="AK4" s="3">
        <v>50</v>
      </c>
      <c r="AL4" s="3">
        <v>25</v>
      </c>
      <c r="AM4" s="3">
        <v>30</v>
      </c>
      <c r="AN4" s="3">
        <v>25</v>
      </c>
      <c r="AO4" s="3">
        <v>50</v>
      </c>
      <c r="AP4" s="3">
        <v>20</v>
      </c>
      <c r="AQ4" s="3">
        <v>30</v>
      </c>
      <c r="AR4" s="3">
        <v>25</v>
      </c>
      <c r="AS4" s="4">
        <f t="shared" si="3"/>
        <v>29</v>
      </c>
    </row>
    <row r="5" spans="1:45" x14ac:dyDescent="0.2">
      <c r="A5" s="3" t="s">
        <v>686</v>
      </c>
      <c r="B5" s="3">
        <v>0</v>
      </c>
      <c r="C5" s="3">
        <v>0</v>
      </c>
      <c r="D5" s="3">
        <v>5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0.5</v>
      </c>
      <c r="M5" s="3">
        <v>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5</v>
      </c>
      <c r="T5" s="3">
        <v>5</v>
      </c>
      <c r="U5" s="3">
        <v>0</v>
      </c>
      <c r="V5" s="3">
        <v>0</v>
      </c>
      <c r="W5" s="4">
        <f t="shared" si="1"/>
        <v>1.5</v>
      </c>
      <c r="X5" s="3">
        <v>0</v>
      </c>
      <c r="Y5" s="3">
        <v>0</v>
      </c>
      <c r="Z5" s="3">
        <v>0</v>
      </c>
      <c r="AA5" s="3">
        <v>0</v>
      </c>
      <c r="AB5" s="3">
        <v>5</v>
      </c>
      <c r="AC5" s="3">
        <v>0</v>
      </c>
      <c r="AD5" s="3">
        <v>0</v>
      </c>
      <c r="AE5" s="3">
        <v>0</v>
      </c>
      <c r="AF5" s="3">
        <v>5</v>
      </c>
      <c r="AG5" s="3">
        <v>0</v>
      </c>
      <c r="AH5" s="4">
        <f t="shared" si="2"/>
        <v>1</v>
      </c>
      <c r="AI5" s="3">
        <v>10</v>
      </c>
      <c r="AJ5" s="3">
        <v>0</v>
      </c>
      <c r="AK5" s="3">
        <v>0</v>
      </c>
      <c r="AL5" s="3">
        <v>5</v>
      </c>
      <c r="AM5" s="3">
        <v>0</v>
      </c>
      <c r="AN5" s="3">
        <v>0</v>
      </c>
      <c r="AO5" s="3">
        <v>5</v>
      </c>
      <c r="AP5" s="3">
        <v>0</v>
      </c>
      <c r="AQ5" s="3">
        <v>0</v>
      </c>
      <c r="AR5" s="3">
        <v>0</v>
      </c>
      <c r="AS5" s="4">
        <f t="shared" si="3"/>
        <v>2</v>
      </c>
    </row>
    <row r="6" spans="1:45" x14ac:dyDescent="0.2">
      <c r="A6" s="3" t="s">
        <v>685</v>
      </c>
      <c r="B6" s="3">
        <v>5</v>
      </c>
      <c r="C6" s="3">
        <v>0</v>
      </c>
      <c r="D6" s="3">
        <v>5</v>
      </c>
      <c r="E6" s="3">
        <v>5</v>
      </c>
      <c r="F6" s="3">
        <v>10</v>
      </c>
      <c r="G6" s="3">
        <v>0</v>
      </c>
      <c r="H6" s="3">
        <v>5</v>
      </c>
      <c r="I6" s="3">
        <v>5</v>
      </c>
      <c r="J6" s="3">
        <v>5</v>
      </c>
      <c r="K6" s="3">
        <v>0</v>
      </c>
      <c r="L6" s="4">
        <f t="shared" si="0"/>
        <v>4</v>
      </c>
      <c r="M6" s="3">
        <v>5</v>
      </c>
      <c r="N6" s="3">
        <v>5</v>
      </c>
      <c r="O6" s="3">
        <v>0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0</v>
      </c>
      <c r="V6" s="3">
        <v>0</v>
      </c>
      <c r="W6" s="4">
        <f t="shared" si="1"/>
        <v>3.5</v>
      </c>
      <c r="X6" s="3">
        <v>5</v>
      </c>
      <c r="Y6" s="3">
        <v>15</v>
      </c>
      <c r="Z6" s="3">
        <v>5</v>
      </c>
      <c r="AA6" s="3">
        <v>10</v>
      </c>
      <c r="AB6" s="3">
        <v>30</v>
      </c>
      <c r="AC6" s="3">
        <v>5</v>
      </c>
      <c r="AD6" s="3">
        <v>5</v>
      </c>
      <c r="AE6" s="3">
        <v>35</v>
      </c>
      <c r="AF6" s="3">
        <v>20</v>
      </c>
      <c r="AG6" s="3">
        <v>5</v>
      </c>
      <c r="AH6" s="4">
        <f t="shared" si="2"/>
        <v>13.5</v>
      </c>
      <c r="AI6" s="3">
        <v>0</v>
      </c>
      <c r="AJ6" s="3">
        <v>10</v>
      </c>
      <c r="AK6" s="3">
        <v>0</v>
      </c>
      <c r="AL6" s="3">
        <v>0</v>
      </c>
      <c r="AM6" s="3">
        <v>0</v>
      </c>
      <c r="AN6" s="3">
        <v>0</v>
      </c>
      <c r="AO6" s="3">
        <v>5</v>
      </c>
      <c r="AP6" s="3">
        <v>5</v>
      </c>
      <c r="AQ6" s="3">
        <v>5</v>
      </c>
      <c r="AR6" s="3">
        <v>5</v>
      </c>
      <c r="AS6" s="4">
        <f t="shared" si="3"/>
        <v>3</v>
      </c>
    </row>
    <row r="7" spans="1:45" x14ac:dyDescent="0.2">
      <c r="A7" t="s">
        <v>688</v>
      </c>
      <c r="B7">
        <v>15</v>
      </c>
      <c r="C7">
        <v>25</v>
      </c>
      <c r="D7">
        <v>50</v>
      </c>
      <c r="E7">
        <v>35</v>
      </c>
      <c r="F7">
        <v>45</v>
      </c>
      <c r="G7">
        <v>60</v>
      </c>
      <c r="H7">
        <v>15</v>
      </c>
      <c r="I7">
        <v>20</v>
      </c>
      <c r="J7">
        <v>55</v>
      </c>
      <c r="K7">
        <v>15</v>
      </c>
      <c r="L7" s="4">
        <f t="shared" si="0"/>
        <v>33.5</v>
      </c>
      <c r="M7">
        <v>10</v>
      </c>
      <c r="N7">
        <v>15</v>
      </c>
      <c r="O7">
        <v>25</v>
      </c>
      <c r="P7">
        <v>25</v>
      </c>
      <c r="Q7">
        <v>15</v>
      </c>
      <c r="R7">
        <v>45</v>
      </c>
      <c r="S7">
        <v>40</v>
      </c>
      <c r="T7">
        <v>20</v>
      </c>
      <c r="U7">
        <v>20</v>
      </c>
      <c r="V7">
        <v>15</v>
      </c>
      <c r="W7" s="1">
        <f t="shared" si="1"/>
        <v>23</v>
      </c>
      <c r="X7">
        <v>40</v>
      </c>
      <c r="Y7">
        <v>50</v>
      </c>
      <c r="Z7">
        <v>10</v>
      </c>
      <c r="AA7">
        <v>40</v>
      </c>
      <c r="AB7">
        <v>15</v>
      </c>
      <c r="AC7">
        <v>50</v>
      </c>
      <c r="AD7">
        <v>35</v>
      </c>
      <c r="AE7">
        <v>5</v>
      </c>
      <c r="AF7">
        <v>5</v>
      </c>
      <c r="AG7">
        <v>40</v>
      </c>
      <c r="AH7" s="1">
        <f t="shared" si="2"/>
        <v>29</v>
      </c>
      <c r="AI7">
        <v>25</v>
      </c>
      <c r="AJ7">
        <v>15</v>
      </c>
      <c r="AK7">
        <v>20</v>
      </c>
      <c r="AL7">
        <v>15</v>
      </c>
      <c r="AM7">
        <v>30</v>
      </c>
      <c r="AN7">
        <v>20</v>
      </c>
      <c r="AO7">
        <v>0</v>
      </c>
      <c r="AP7">
        <v>40</v>
      </c>
      <c r="AQ7">
        <v>20</v>
      </c>
      <c r="AR7">
        <v>20</v>
      </c>
      <c r="AS7" s="1">
        <f t="shared" si="3"/>
        <v>20.5</v>
      </c>
    </row>
    <row r="8" spans="1:45" x14ac:dyDescent="0.2">
      <c r="A8" s="18" t="s">
        <v>690</v>
      </c>
      <c r="B8" s="18">
        <v>5</v>
      </c>
      <c r="C8" s="18">
        <v>5</v>
      </c>
      <c r="D8" s="18">
        <v>0</v>
      </c>
      <c r="E8" s="18">
        <v>0</v>
      </c>
      <c r="F8" s="18">
        <v>5</v>
      </c>
      <c r="G8" s="18">
        <v>5</v>
      </c>
      <c r="H8" s="18">
        <v>0</v>
      </c>
      <c r="I8" s="18">
        <v>10</v>
      </c>
      <c r="J8" s="18">
        <v>0</v>
      </c>
      <c r="K8" s="18">
        <v>5</v>
      </c>
      <c r="L8" s="17">
        <f t="shared" si="0"/>
        <v>3.5</v>
      </c>
      <c r="M8" s="18">
        <v>5</v>
      </c>
      <c r="N8" s="18">
        <v>5</v>
      </c>
      <c r="O8" s="18">
        <v>5</v>
      </c>
      <c r="P8" s="18">
        <v>10</v>
      </c>
      <c r="Q8" s="18">
        <v>5</v>
      </c>
      <c r="R8" s="18">
        <v>0</v>
      </c>
      <c r="S8" s="18">
        <v>5</v>
      </c>
      <c r="T8" s="18">
        <v>10</v>
      </c>
      <c r="U8" s="18">
        <v>5</v>
      </c>
      <c r="V8" s="18">
        <v>5</v>
      </c>
      <c r="W8" s="19">
        <f t="shared" si="1"/>
        <v>5.5</v>
      </c>
      <c r="X8" s="18">
        <v>5</v>
      </c>
      <c r="Y8" s="18">
        <v>5</v>
      </c>
      <c r="Z8" s="18">
        <v>5</v>
      </c>
      <c r="AA8" s="18">
        <v>5</v>
      </c>
      <c r="AB8" s="18">
        <v>0</v>
      </c>
      <c r="AC8" s="18">
        <v>5</v>
      </c>
      <c r="AD8" s="18">
        <v>10</v>
      </c>
      <c r="AE8" s="18">
        <v>5</v>
      </c>
      <c r="AF8" s="18">
        <v>5</v>
      </c>
      <c r="AG8" s="18">
        <v>5</v>
      </c>
      <c r="AH8" s="19">
        <f t="shared" si="2"/>
        <v>5</v>
      </c>
      <c r="AI8" s="18">
        <v>15</v>
      </c>
      <c r="AJ8" s="18">
        <v>25</v>
      </c>
      <c r="AK8" s="18">
        <v>5</v>
      </c>
      <c r="AL8" s="18">
        <v>10</v>
      </c>
      <c r="AM8" s="18">
        <v>5</v>
      </c>
      <c r="AN8" s="18">
        <v>5</v>
      </c>
      <c r="AO8" s="18">
        <v>5</v>
      </c>
      <c r="AP8" s="18">
        <v>0</v>
      </c>
      <c r="AQ8" s="18">
        <v>5</v>
      </c>
      <c r="AR8" s="18">
        <v>5</v>
      </c>
      <c r="AS8" s="19">
        <f t="shared" si="3"/>
        <v>8</v>
      </c>
    </row>
    <row r="9" spans="1:45" x14ac:dyDescent="0.2">
      <c r="B9">
        <f t="shared" ref="B9:AS9" si="4">SUM(B2:B8)</f>
        <v>100</v>
      </c>
      <c r="C9">
        <f t="shared" si="4"/>
        <v>100</v>
      </c>
      <c r="D9">
        <f t="shared" si="4"/>
        <v>100</v>
      </c>
      <c r="E9">
        <f t="shared" si="4"/>
        <v>100</v>
      </c>
      <c r="F9">
        <f t="shared" si="4"/>
        <v>100</v>
      </c>
      <c r="G9">
        <f t="shared" si="4"/>
        <v>100</v>
      </c>
      <c r="H9">
        <f t="shared" si="4"/>
        <v>100</v>
      </c>
      <c r="I9">
        <f t="shared" si="4"/>
        <v>100</v>
      </c>
      <c r="J9">
        <f t="shared" si="4"/>
        <v>100</v>
      </c>
      <c r="K9">
        <f t="shared" si="4"/>
        <v>100</v>
      </c>
      <c r="L9" s="4">
        <f t="shared" si="4"/>
        <v>100</v>
      </c>
      <c r="M9">
        <f t="shared" si="4"/>
        <v>100</v>
      </c>
      <c r="N9">
        <f t="shared" si="4"/>
        <v>100</v>
      </c>
      <c r="O9">
        <f t="shared" si="4"/>
        <v>100</v>
      </c>
      <c r="P9">
        <f t="shared" si="4"/>
        <v>100</v>
      </c>
      <c r="Q9">
        <f t="shared" si="4"/>
        <v>100</v>
      </c>
      <c r="R9">
        <f t="shared" si="4"/>
        <v>100</v>
      </c>
      <c r="S9">
        <f t="shared" si="4"/>
        <v>100</v>
      </c>
      <c r="T9">
        <f t="shared" si="4"/>
        <v>100</v>
      </c>
      <c r="U9">
        <f t="shared" si="4"/>
        <v>100</v>
      </c>
      <c r="V9">
        <f t="shared" si="4"/>
        <v>100</v>
      </c>
      <c r="W9" s="1">
        <f t="shared" si="4"/>
        <v>100</v>
      </c>
      <c r="X9">
        <f t="shared" si="4"/>
        <v>100</v>
      </c>
      <c r="Y9">
        <f t="shared" si="4"/>
        <v>100</v>
      </c>
      <c r="Z9">
        <f t="shared" si="4"/>
        <v>100</v>
      </c>
      <c r="AA9">
        <f t="shared" si="4"/>
        <v>100</v>
      </c>
      <c r="AB9">
        <f t="shared" si="4"/>
        <v>100</v>
      </c>
      <c r="AC9">
        <f t="shared" si="4"/>
        <v>100</v>
      </c>
      <c r="AD9">
        <f t="shared" si="4"/>
        <v>100</v>
      </c>
      <c r="AE9">
        <f t="shared" si="4"/>
        <v>100</v>
      </c>
      <c r="AF9">
        <f t="shared" si="4"/>
        <v>100</v>
      </c>
      <c r="AG9">
        <f t="shared" si="4"/>
        <v>100</v>
      </c>
      <c r="AH9" s="1">
        <f t="shared" si="4"/>
        <v>100</v>
      </c>
      <c r="AI9">
        <f t="shared" si="4"/>
        <v>100</v>
      </c>
      <c r="AJ9">
        <f t="shared" si="4"/>
        <v>100</v>
      </c>
      <c r="AK9">
        <f t="shared" si="4"/>
        <v>100</v>
      </c>
      <c r="AL9">
        <f t="shared" si="4"/>
        <v>100</v>
      </c>
      <c r="AM9">
        <f t="shared" si="4"/>
        <v>100</v>
      </c>
      <c r="AN9">
        <f t="shared" si="4"/>
        <v>100</v>
      </c>
      <c r="AO9">
        <f t="shared" si="4"/>
        <v>100</v>
      </c>
      <c r="AP9">
        <f t="shared" si="4"/>
        <v>100</v>
      </c>
      <c r="AQ9">
        <f t="shared" si="4"/>
        <v>100</v>
      </c>
      <c r="AR9">
        <f t="shared" si="4"/>
        <v>100</v>
      </c>
      <c r="AS9" s="4">
        <f t="shared" si="4"/>
        <v>100</v>
      </c>
    </row>
    <row r="10" spans="1:45" x14ac:dyDescent="0.2">
      <c r="AH10" s="1"/>
    </row>
  </sheetData>
  <phoneticPr fontId="0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5"/>
  <sheetViews>
    <sheetView zoomScale="64" zoomScaleNormal="64" workbookViewId="0">
      <pane xSplit="1" topLeftCell="B1" activePane="topRight" state="frozen"/>
      <selection activeCell="H18" sqref="H18"/>
      <selection pane="topRight" activeCell="B13" sqref="B13"/>
    </sheetView>
  </sheetViews>
  <sheetFormatPr defaultRowHeight="12.75" x14ac:dyDescent="0.2"/>
  <cols>
    <col min="1" max="1" width="12.85546875" customWidth="1"/>
  </cols>
  <sheetData>
    <row r="1" spans="1:49" s="4" customFormat="1" x14ac:dyDescent="0.2">
      <c r="A1" s="4" t="s">
        <v>0</v>
      </c>
      <c r="B1" s="4" t="s">
        <v>165</v>
      </c>
      <c r="C1" s="4" t="s">
        <v>166</v>
      </c>
      <c r="D1" s="4" t="s">
        <v>167</v>
      </c>
      <c r="E1" s="4" t="s">
        <v>168</v>
      </c>
      <c r="F1" s="4" t="s">
        <v>169</v>
      </c>
      <c r="G1" s="4" t="s">
        <v>170</v>
      </c>
      <c r="H1" s="4" t="s">
        <v>171</v>
      </c>
      <c r="I1" s="4" t="s">
        <v>172</v>
      </c>
      <c r="J1" s="4" t="s">
        <v>173</v>
      </c>
      <c r="K1" s="4" t="s">
        <v>174</v>
      </c>
      <c r="M1" s="4" t="s">
        <v>175</v>
      </c>
      <c r="N1" s="4" t="s">
        <v>176</v>
      </c>
      <c r="O1" s="4" t="s">
        <v>177</v>
      </c>
      <c r="P1" s="4" t="s">
        <v>178</v>
      </c>
      <c r="Q1" s="4" t="s">
        <v>179</v>
      </c>
      <c r="R1" s="4" t="s">
        <v>180</v>
      </c>
      <c r="S1" s="4" t="s">
        <v>181</v>
      </c>
      <c r="T1" s="4" t="s">
        <v>182</v>
      </c>
      <c r="U1" s="4" t="s">
        <v>183</v>
      </c>
      <c r="V1" s="4" t="s">
        <v>184</v>
      </c>
      <c r="X1" s="4" t="s">
        <v>185</v>
      </c>
      <c r="Y1" s="4" t="s">
        <v>186</v>
      </c>
      <c r="Z1" s="4" t="s">
        <v>187</v>
      </c>
      <c r="AA1" s="4" t="s">
        <v>188</v>
      </c>
      <c r="AB1" s="4" t="s">
        <v>189</v>
      </c>
      <c r="AC1" s="4" t="s">
        <v>190</v>
      </c>
      <c r="AD1" s="4" t="s">
        <v>191</v>
      </c>
      <c r="AE1" s="4" t="s">
        <v>192</v>
      </c>
      <c r="AF1" s="4" t="s">
        <v>193</v>
      </c>
      <c r="AG1" s="4" t="s">
        <v>194</v>
      </c>
      <c r="AI1" s="4" t="s">
        <v>195</v>
      </c>
      <c r="AJ1" s="4" t="s">
        <v>196</v>
      </c>
      <c r="AK1" s="4" t="s">
        <v>197</v>
      </c>
      <c r="AL1" s="4" t="s">
        <v>198</v>
      </c>
      <c r="AM1" s="4" t="s">
        <v>199</v>
      </c>
      <c r="AN1" s="4" t="s">
        <v>200</v>
      </c>
      <c r="AO1" s="4" t="s">
        <v>201</v>
      </c>
      <c r="AP1" s="4" t="s">
        <v>202</v>
      </c>
      <c r="AQ1" s="4" t="s">
        <v>203</v>
      </c>
      <c r="AR1" s="4" t="s">
        <v>204</v>
      </c>
      <c r="AU1" s="5"/>
      <c r="AV1" s="5"/>
      <c r="AW1" s="5"/>
    </row>
    <row r="2" spans="1:49" s="3" customFormat="1" x14ac:dyDescent="0.2">
      <c r="A2" s="3" t="s">
        <v>1</v>
      </c>
      <c r="B2" s="3">
        <v>35</v>
      </c>
      <c r="C2" s="3">
        <v>55</v>
      </c>
      <c r="D2" s="3">
        <v>45</v>
      </c>
      <c r="E2" s="3">
        <v>30</v>
      </c>
      <c r="F2" s="3">
        <v>35</v>
      </c>
      <c r="G2" s="3">
        <v>30</v>
      </c>
      <c r="H2" s="3">
        <v>10</v>
      </c>
      <c r="I2" s="3">
        <v>20</v>
      </c>
      <c r="J2" s="3">
        <v>15</v>
      </c>
      <c r="K2" s="3">
        <v>20</v>
      </c>
      <c r="L2" s="4">
        <f t="shared" ref="L2:L8" si="0">AVERAGE(B2:K2)</f>
        <v>29.5</v>
      </c>
      <c r="M2" s="3">
        <v>15</v>
      </c>
      <c r="N2" s="3">
        <v>15</v>
      </c>
      <c r="O2" s="3">
        <v>20</v>
      </c>
      <c r="P2" s="3">
        <v>20</v>
      </c>
      <c r="Q2" s="3">
        <v>10</v>
      </c>
      <c r="R2" s="3">
        <v>10</v>
      </c>
      <c r="S2" s="3">
        <v>30</v>
      </c>
      <c r="T2" s="3">
        <v>10</v>
      </c>
      <c r="U2" s="3">
        <v>15</v>
      </c>
      <c r="V2" s="3">
        <v>15</v>
      </c>
      <c r="W2" s="4">
        <f t="shared" ref="W2:W8" si="1">AVERAGE(M2:V2)</f>
        <v>16</v>
      </c>
      <c r="X2" s="3">
        <v>5</v>
      </c>
      <c r="Y2" s="3">
        <v>5</v>
      </c>
      <c r="Z2" s="3">
        <v>10</v>
      </c>
      <c r="AA2" s="3">
        <v>15</v>
      </c>
      <c r="AB2" s="3">
        <v>5</v>
      </c>
      <c r="AC2" s="3">
        <v>20</v>
      </c>
      <c r="AD2" s="3">
        <v>15</v>
      </c>
      <c r="AE2" s="3">
        <v>10</v>
      </c>
      <c r="AF2" s="3">
        <v>10</v>
      </c>
      <c r="AG2" s="3">
        <v>10</v>
      </c>
      <c r="AH2" s="4">
        <f t="shared" ref="AH2:AH8" si="2">AVERAGE(X2:AG2)</f>
        <v>10.5</v>
      </c>
      <c r="AI2" s="3">
        <v>10</v>
      </c>
      <c r="AJ2" s="3">
        <v>15</v>
      </c>
      <c r="AK2" s="3">
        <v>10</v>
      </c>
      <c r="AL2" s="3">
        <v>15</v>
      </c>
      <c r="AM2" s="3">
        <v>10</v>
      </c>
      <c r="AN2" s="3">
        <v>15</v>
      </c>
      <c r="AO2" s="3">
        <v>15</v>
      </c>
      <c r="AP2" s="3">
        <v>10</v>
      </c>
      <c r="AQ2" s="3">
        <v>10</v>
      </c>
      <c r="AR2" s="3">
        <v>15</v>
      </c>
      <c r="AS2" s="4">
        <f t="shared" ref="AS2:AS8" si="3">AVERAGE(AI2:AR2)</f>
        <v>12.5</v>
      </c>
    </row>
    <row r="3" spans="1:49" s="3" customFormat="1" x14ac:dyDescent="0.2">
      <c r="A3" s="3" t="s">
        <v>2</v>
      </c>
      <c r="B3" s="3">
        <v>15</v>
      </c>
      <c r="C3" s="3">
        <v>15</v>
      </c>
      <c r="D3" s="3">
        <v>10</v>
      </c>
      <c r="E3" s="3">
        <v>20</v>
      </c>
      <c r="F3" s="3">
        <v>10</v>
      </c>
      <c r="G3" s="3">
        <v>15</v>
      </c>
      <c r="H3" s="3">
        <v>10</v>
      </c>
      <c r="I3" s="3">
        <v>10</v>
      </c>
      <c r="J3" s="3">
        <v>45</v>
      </c>
      <c r="K3" s="3">
        <v>10</v>
      </c>
      <c r="L3" s="4">
        <f t="shared" si="0"/>
        <v>16</v>
      </c>
      <c r="M3" s="3">
        <v>5</v>
      </c>
      <c r="N3" s="3">
        <v>5</v>
      </c>
      <c r="O3" s="3">
        <v>10</v>
      </c>
      <c r="P3" s="3">
        <v>5</v>
      </c>
      <c r="Q3" s="3">
        <v>10</v>
      </c>
      <c r="R3" s="3">
        <v>10</v>
      </c>
      <c r="S3" s="3">
        <v>5</v>
      </c>
      <c r="T3" s="3">
        <v>10</v>
      </c>
      <c r="U3" s="3">
        <v>15</v>
      </c>
      <c r="V3" s="3">
        <v>5</v>
      </c>
      <c r="W3" s="4">
        <f t="shared" si="1"/>
        <v>8</v>
      </c>
      <c r="X3" s="3">
        <v>15</v>
      </c>
      <c r="Y3" s="3">
        <v>10</v>
      </c>
      <c r="Z3" s="3">
        <v>5</v>
      </c>
      <c r="AA3" s="3">
        <v>15</v>
      </c>
      <c r="AB3" s="3">
        <v>20</v>
      </c>
      <c r="AC3" s="3">
        <v>40</v>
      </c>
      <c r="AD3" s="3">
        <v>10</v>
      </c>
      <c r="AE3" s="3">
        <v>5</v>
      </c>
      <c r="AF3" s="3">
        <v>15</v>
      </c>
      <c r="AG3" s="3">
        <v>20</v>
      </c>
      <c r="AH3" s="4">
        <f t="shared" si="2"/>
        <v>15.5</v>
      </c>
      <c r="AI3" s="3">
        <v>15</v>
      </c>
      <c r="AJ3" s="3">
        <v>15</v>
      </c>
      <c r="AK3" s="3">
        <v>10</v>
      </c>
      <c r="AL3" s="3">
        <v>5</v>
      </c>
      <c r="AM3" s="3">
        <v>15</v>
      </c>
      <c r="AN3" s="3">
        <v>20</v>
      </c>
      <c r="AO3" s="3">
        <v>15</v>
      </c>
      <c r="AP3" s="3">
        <v>10</v>
      </c>
      <c r="AQ3" s="3">
        <v>15</v>
      </c>
      <c r="AR3" s="3">
        <v>20</v>
      </c>
      <c r="AS3" s="4">
        <f t="shared" si="3"/>
        <v>14</v>
      </c>
    </row>
    <row r="4" spans="1:49" s="3" customFormat="1" x14ac:dyDescent="0.2">
      <c r="A4" s="3" t="s">
        <v>3</v>
      </c>
      <c r="B4" s="3">
        <v>20</v>
      </c>
      <c r="C4" s="3">
        <v>0</v>
      </c>
      <c r="D4" s="3">
        <v>10</v>
      </c>
      <c r="E4" s="3">
        <v>15</v>
      </c>
      <c r="F4" s="3">
        <v>5</v>
      </c>
      <c r="G4" s="3">
        <v>25</v>
      </c>
      <c r="H4" s="3">
        <v>30</v>
      </c>
      <c r="I4" s="3">
        <v>40</v>
      </c>
      <c r="J4" s="3">
        <v>5</v>
      </c>
      <c r="K4" s="3">
        <v>30</v>
      </c>
      <c r="L4" s="4">
        <f t="shared" si="0"/>
        <v>18</v>
      </c>
      <c r="M4" s="3">
        <v>50</v>
      </c>
      <c r="N4" s="3">
        <v>40</v>
      </c>
      <c r="O4" s="3">
        <v>20</v>
      </c>
      <c r="P4" s="3">
        <v>25</v>
      </c>
      <c r="Q4" s="3">
        <v>15</v>
      </c>
      <c r="R4" s="3">
        <v>10</v>
      </c>
      <c r="S4" s="3">
        <v>20</v>
      </c>
      <c r="T4" s="3">
        <v>20</v>
      </c>
      <c r="U4" s="3">
        <v>15</v>
      </c>
      <c r="V4" s="3">
        <v>50</v>
      </c>
      <c r="W4" s="4">
        <f t="shared" si="1"/>
        <v>26.5</v>
      </c>
      <c r="X4" s="3">
        <v>30</v>
      </c>
      <c r="Y4" s="3">
        <v>40</v>
      </c>
      <c r="Z4" s="3">
        <v>55</v>
      </c>
      <c r="AA4" s="3">
        <v>40</v>
      </c>
      <c r="AB4" s="3">
        <v>35</v>
      </c>
      <c r="AC4" s="3">
        <v>15</v>
      </c>
      <c r="AD4" s="3">
        <v>25</v>
      </c>
      <c r="AE4" s="3">
        <v>60</v>
      </c>
      <c r="AF4" s="3">
        <v>50</v>
      </c>
      <c r="AG4" s="3">
        <v>20</v>
      </c>
      <c r="AH4" s="4">
        <f t="shared" si="2"/>
        <v>37</v>
      </c>
      <c r="AI4" s="3">
        <v>40</v>
      </c>
      <c r="AJ4" s="3">
        <v>40</v>
      </c>
      <c r="AK4" s="3">
        <v>45</v>
      </c>
      <c r="AL4" s="3">
        <v>40</v>
      </c>
      <c r="AM4" s="3">
        <v>35</v>
      </c>
      <c r="AN4" s="3">
        <v>40</v>
      </c>
      <c r="AO4" s="3">
        <v>40</v>
      </c>
      <c r="AP4" s="3">
        <v>35</v>
      </c>
      <c r="AQ4" s="3">
        <v>50</v>
      </c>
      <c r="AR4" s="3">
        <v>20</v>
      </c>
      <c r="AS4" s="4">
        <f t="shared" si="3"/>
        <v>38.5</v>
      </c>
    </row>
    <row r="5" spans="1:49" s="3" customFormat="1" x14ac:dyDescent="0.2">
      <c r="A5" s="3" t="s">
        <v>686</v>
      </c>
      <c r="B5" s="3">
        <v>5</v>
      </c>
      <c r="C5" s="3">
        <v>5</v>
      </c>
      <c r="D5" s="3">
        <v>0</v>
      </c>
      <c r="E5" s="3">
        <v>0</v>
      </c>
      <c r="F5" s="3">
        <v>25</v>
      </c>
      <c r="G5" s="3">
        <v>0</v>
      </c>
      <c r="H5" s="3">
        <v>10</v>
      </c>
      <c r="I5" s="3">
        <v>0</v>
      </c>
      <c r="J5" s="3">
        <v>0</v>
      </c>
      <c r="K5" s="3">
        <v>0</v>
      </c>
      <c r="L5" s="4">
        <f t="shared" si="0"/>
        <v>4.5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5</v>
      </c>
      <c r="W5" s="4">
        <f t="shared" si="1"/>
        <v>0.5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10</v>
      </c>
      <c r="AF5" s="3">
        <v>0</v>
      </c>
      <c r="AG5" s="3">
        <v>5</v>
      </c>
      <c r="AH5" s="4">
        <f t="shared" si="2"/>
        <v>1.5</v>
      </c>
      <c r="AI5" s="3">
        <v>10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5</v>
      </c>
      <c r="AS5" s="4">
        <f t="shared" si="3"/>
        <v>1.5</v>
      </c>
    </row>
    <row r="6" spans="1:49" s="3" customFormat="1" x14ac:dyDescent="0.2">
      <c r="A6" s="3" t="s">
        <v>685</v>
      </c>
      <c r="B6" s="3">
        <v>10</v>
      </c>
      <c r="C6" s="3">
        <v>5</v>
      </c>
      <c r="D6" s="3">
        <v>5</v>
      </c>
      <c r="E6" s="3">
        <v>10</v>
      </c>
      <c r="F6" s="3">
        <v>10</v>
      </c>
      <c r="G6" s="3">
        <v>10</v>
      </c>
      <c r="H6" s="3">
        <v>20</v>
      </c>
      <c r="I6" s="3">
        <v>15</v>
      </c>
      <c r="J6" s="3">
        <v>10</v>
      </c>
      <c r="K6" s="3">
        <v>15</v>
      </c>
      <c r="L6" s="4">
        <f t="shared" si="0"/>
        <v>11</v>
      </c>
      <c r="M6" s="3">
        <v>10</v>
      </c>
      <c r="N6" s="3">
        <v>20</v>
      </c>
      <c r="O6" s="3">
        <v>15</v>
      </c>
      <c r="P6" s="3">
        <v>10</v>
      </c>
      <c r="Q6" s="3">
        <v>15</v>
      </c>
      <c r="R6" s="3">
        <v>10</v>
      </c>
      <c r="S6" s="3">
        <v>20</v>
      </c>
      <c r="T6" s="3">
        <v>10</v>
      </c>
      <c r="U6" s="3">
        <v>15</v>
      </c>
      <c r="V6" s="3">
        <v>10</v>
      </c>
      <c r="W6" s="4">
        <f t="shared" si="1"/>
        <v>13.5</v>
      </c>
      <c r="X6" s="3">
        <v>5</v>
      </c>
      <c r="Y6" s="3">
        <v>15</v>
      </c>
      <c r="Z6" s="3">
        <v>0</v>
      </c>
      <c r="AA6" s="3">
        <v>10</v>
      </c>
      <c r="AB6" s="3">
        <v>5</v>
      </c>
      <c r="AC6" s="3">
        <v>10</v>
      </c>
      <c r="AD6" s="3">
        <v>5</v>
      </c>
      <c r="AE6" s="3">
        <v>5</v>
      </c>
      <c r="AF6" s="3">
        <v>15</v>
      </c>
      <c r="AG6" s="3">
        <v>10</v>
      </c>
      <c r="AH6" s="4">
        <f t="shared" si="2"/>
        <v>8</v>
      </c>
      <c r="AI6" s="3">
        <v>0</v>
      </c>
      <c r="AJ6" s="3">
        <v>15</v>
      </c>
      <c r="AK6" s="3">
        <v>15</v>
      </c>
      <c r="AL6" s="3">
        <v>5</v>
      </c>
      <c r="AM6" s="3">
        <v>15</v>
      </c>
      <c r="AN6" s="3">
        <v>10</v>
      </c>
      <c r="AO6" s="3">
        <v>5</v>
      </c>
      <c r="AP6" s="3">
        <v>10</v>
      </c>
      <c r="AQ6" s="3">
        <v>10</v>
      </c>
      <c r="AR6" s="3">
        <v>0</v>
      </c>
      <c r="AS6" s="4">
        <f t="shared" si="3"/>
        <v>8.5</v>
      </c>
    </row>
    <row r="7" spans="1:49" s="3" customFormat="1" x14ac:dyDescent="0.2">
      <c r="A7" s="3" t="s">
        <v>689</v>
      </c>
      <c r="B7" s="3">
        <v>10</v>
      </c>
      <c r="C7" s="3">
        <v>15</v>
      </c>
      <c r="D7" s="3">
        <v>20</v>
      </c>
      <c r="E7" s="3">
        <v>20</v>
      </c>
      <c r="F7" s="3">
        <v>15</v>
      </c>
      <c r="G7" s="3">
        <v>20</v>
      </c>
      <c r="H7" s="3">
        <v>20</v>
      </c>
      <c r="I7" s="3">
        <v>15</v>
      </c>
      <c r="J7" s="3">
        <v>20</v>
      </c>
      <c r="K7" s="3">
        <v>20</v>
      </c>
      <c r="L7" s="4">
        <f t="shared" si="0"/>
        <v>17.5</v>
      </c>
      <c r="M7" s="3">
        <v>10</v>
      </c>
      <c r="N7" s="3">
        <v>15</v>
      </c>
      <c r="O7" s="3">
        <v>30</v>
      </c>
      <c r="P7" s="3">
        <v>40</v>
      </c>
      <c r="Q7" s="3">
        <v>40</v>
      </c>
      <c r="R7" s="3">
        <v>55</v>
      </c>
      <c r="S7" s="3">
        <v>20</v>
      </c>
      <c r="T7" s="3">
        <v>45</v>
      </c>
      <c r="U7" s="3">
        <v>35</v>
      </c>
      <c r="V7" s="3">
        <v>10</v>
      </c>
      <c r="W7" s="4">
        <f t="shared" si="1"/>
        <v>30</v>
      </c>
      <c r="X7" s="3">
        <v>40</v>
      </c>
      <c r="Y7" s="3">
        <v>30</v>
      </c>
      <c r="Z7" s="3">
        <v>10</v>
      </c>
      <c r="AA7" s="3">
        <v>5</v>
      </c>
      <c r="AB7" s="3">
        <v>5</v>
      </c>
      <c r="AC7" s="3">
        <v>10</v>
      </c>
      <c r="AD7" s="3">
        <v>40</v>
      </c>
      <c r="AE7" s="3">
        <v>10</v>
      </c>
      <c r="AF7" s="3">
        <v>10</v>
      </c>
      <c r="AG7" s="3">
        <v>35</v>
      </c>
      <c r="AH7" s="4">
        <f t="shared" si="2"/>
        <v>19.5</v>
      </c>
      <c r="AI7" s="3">
        <v>25</v>
      </c>
      <c r="AJ7" s="3">
        <v>15</v>
      </c>
      <c r="AK7" s="3">
        <v>20</v>
      </c>
      <c r="AL7" s="3">
        <v>35</v>
      </c>
      <c r="AM7" s="3">
        <v>25</v>
      </c>
      <c r="AN7" s="3">
        <v>15</v>
      </c>
      <c r="AO7" s="3">
        <v>25</v>
      </c>
      <c r="AP7" s="3">
        <v>30</v>
      </c>
      <c r="AQ7" s="3">
        <v>15</v>
      </c>
      <c r="AR7" s="3">
        <v>40</v>
      </c>
      <c r="AS7" s="4">
        <f t="shared" si="3"/>
        <v>24.5</v>
      </c>
    </row>
    <row r="8" spans="1:49" s="3" customFormat="1" x14ac:dyDescent="0.2">
      <c r="A8" s="16" t="s">
        <v>690</v>
      </c>
      <c r="B8" s="16">
        <v>5</v>
      </c>
      <c r="C8" s="16">
        <v>5</v>
      </c>
      <c r="D8" s="16">
        <v>10</v>
      </c>
      <c r="E8" s="16">
        <v>5</v>
      </c>
      <c r="F8" s="16">
        <v>0</v>
      </c>
      <c r="G8" s="16">
        <v>0</v>
      </c>
      <c r="H8" s="16">
        <v>0</v>
      </c>
      <c r="I8" s="16">
        <v>0</v>
      </c>
      <c r="J8" s="16">
        <v>5</v>
      </c>
      <c r="K8" s="16">
        <v>5</v>
      </c>
      <c r="L8" s="17">
        <f t="shared" si="0"/>
        <v>3.5</v>
      </c>
      <c r="M8" s="16">
        <v>10</v>
      </c>
      <c r="N8" s="16">
        <v>5</v>
      </c>
      <c r="O8" s="16">
        <v>5</v>
      </c>
      <c r="P8" s="16">
        <v>0</v>
      </c>
      <c r="Q8" s="16">
        <v>10</v>
      </c>
      <c r="R8" s="16">
        <v>5</v>
      </c>
      <c r="S8" s="16">
        <v>5</v>
      </c>
      <c r="T8" s="16">
        <v>5</v>
      </c>
      <c r="U8" s="16">
        <v>5</v>
      </c>
      <c r="V8" s="16">
        <v>5</v>
      </c>
      <c r="W8" s="17">
        <f t="shared" si="1"/>
        <v>5.5</v>
      </c>
      <c r="X8" s="16">
        <v>5</v>
      </c>
      <c r="Y8" s="16">
        <v>0</v>
      </c>
      <c r="Z8" s="16">
        <v>20</v>
      </c>
      <c r="AA8" s="16">
        <v>15</v>
      </c>
      <c r="AB8" s="16">
        <v>30</v>
      </c>
      <c r="AC8" s="16">
        <v>5</v>
      </c>
      <c r="AD8" s="16">
        <v>5</v>
      </c>
      <c r="AE8" s="16">
        <v>0</v>
      </c>
      <c r="AF8" s="16">
        <v>0</v>
      </c>
      <c r="AG8" s="16">
        <v>0</v>
      </c>
      <c r="AH8" s="17">
        <f t="shared" si="2"/>
        <v>8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5</v>
      </c>
      <c r="AQ8" s="16">
        <v>0</v>
      </c>
      <c r="AR8" s="16">
        <v>0</v>
      </c>
      <c r="AS8" s="17">
        <f t="shared" si="3"/>
        <v>0.5</v>
      </c>
    </row>
    <row r="9" spans="1:49" s="3" customFormat="1" x14ac:dyDescent="0.2">
      <c r="B9" s="3">
        <f t="shared" ref="B9:K9" si="4">SUM(B2:B8)</f>
        <v>100</v>
      </c>
      <c r="C9" s="3">
        <f t="shared" si="4"/>
        <v>100</v>
      </c>
      <c r="D9" s="3">
        <f t="shared" si="4"/>
        <v>100</v>
      </c>
      <c r="E9" s="3">
        <f t="shared" si="4"/>
        <v>100</v>
      </c>
      <c r="F9" s="3">
        <f t="shared" si="4"/>
        <v>100</v>
      </c>
      <c r="G9" s="3">
        <f t="shared" si="4"/>
        <v>100</v>
      </c>
      <c r="H9" s="3">
        <f t="shared" si="4"/>
        <v>100</v>
      </c>
      <c r="I9" s="3">
        <f t="shared" si="4"/>
        <v>100</v>
      </c>
      <c r="J9" s="3">
        <f t="shared" si="4"/>
        <v>100</v>
      </c>
      <c r="K9" s="3">
        <f t="shared" si="4"/>
        <v>100</v>
      </c>
      <c r="L9" s="4">
        <f t="shared" ref="L9:AS9" si="5">SUM(L2:L8)</f>
        <v>100</v>
      </c>
      <c r="M9" s="3">
        <f t="shared" ref="M9:V9" si="6">SUM(M2:M8)</f>
        <v>100</v>
      </c>
      <c r="N9" s="3">
        <f t="shared" si="6"/>
        <v>100</v>
      </c>
      <c r="O9" s="3">
        <f t="shared" si="6"/>
        <v>100</v>
      </c>
      <c r="P9" s="3">
        <f t="shared" si="6"/>
        <v>100</v>
      </c>
      <c r="Q9" s="3">
        <f t="shared" si="6"/>
        <v>100</v>
      </c>
      <c r="R9" s="3">
        <f t="shared" si="6"/>
        <v>100</v>
      </c>
      <c r="S9" s="3">
        <f t="shared" si="6"/>
        <v>100</v>
      </c>
      <c r="T9" s="3">
        <f t="shared" si="6"/>
        <v>100</v>
      </c>
      <c r="U9" s="3">
        <f t="shared" si="6"/>
        <v>100</v>
      </c>
      <c r="V9" s="3">
        <f t="shared" si="6"/>
        <v>100</v>
      </c>
      <c r="W9" s="4">
        <f t="shared" si="5"/>
        <v>100</v>
      </c>
      <c r="X9" s="3">
        <f t="shared" si="5"/>
        <v>100</v>
      </c>
      <c r="Y9" s="3">
        <f t="shared" si="5"/>
        <v>100</v>
      </c>
      <c r="Z9" s="3">
        <f t="shared" si="5"/>
        <v>100</v>
      </c>
      <c r="AA9" s="3">
        <f t="shared" si="5"/>
        <v>100</v>
      </c>
      <c r="AB9" s="3">
        <f t="shared" si="5"/>
        <v>100</v>
      </c>
      <c r="AC9" s="3">
        <f t="shared" si="5"/>
        <v>100</v>
      </c>
      <c r="AD9" s="3">
        <f t="shared" si="5"/>
        <v>100</v>
      </c>
      <c r="AE9" s="3">
        <f t="shared" si="5"/>
        <v>100</v>
      </c>
      <c r="AF9" s="3">
        <f t="shared" si="5"/>
        <v>100</v>
      </c>
      <c r="AG9" s="3">
        <f t="shared" si="5"/>
        <v>100</v>
      </c>
      <c r="AH9" s="4">
        <f t="shared" si="5"/>
        <v>100</v>
      </c>
      <c r="AI9" s="3">
        <f t="shared" si="5"/>
        <v>100</v>
      </c>
      <c r="AJ9" s="3">
        <f t="shared" si="5"/>
        <v>100</v>
      </c>
      <c r="AK9" s="3">
        <f t="shared" si="5"/>
        <v>100</v>
      </c>
      <c r="AL9" s="3">
        <f t="shared" si="5"/>
        <v>100</v>
      </c>
      <c r="AM9" s="3">
        <f t="shared" si="5"/>
        <v>100</v>
      </c>
      <c r="AN9" s="3">
        <f t="shared" si="5"/>
        <v>100</v>
      </c>
      <c r="AO9" s="3">
        <f t="shared" si="5"/>
        <v>100</v>
      </c>
      <c r="AP9" s="3">
        <f t="shared" si="5"/>
        <v>100</v>
      </c>
      <c r="AQ9" s="3">
        <f t="shared" si="5"/>
        <v>100</v>
      </c>
      <c r="AR9" s="3">
        <f t="shared" si="5"/>
        <v>100</v>
      </c>
      <c r="AS9" s="4">
        <f t="shared" si="5"/>
        <v>100</v>
      </c>
    </row>
    <row r="10" spans="1:49" s="3" customFormat="1" x14ac:dyDescent="0.2"/>
    <row r="11" spans="1:49" s="3" customFormat="1" x14ac:dyDescent="0.2"/>
    <row r="12" spans="1:49" s="3" customFormat="1" x14ac:dyDescent="0.2">
      <c r="X12" s="5"/>
    </row>
    <row r="13" spans="1:49" s="3" customFormat="1" x14ac:dyDescent="0.2"/>
    <row r="14" spans="1:49" s="3" customFormat="1" x14ac:dyDescent="0.2"/>
    <row r="15" spans="1:49" s="3" customFormat="1" x14ac:dyDescent="0.2"/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H18" sqref="H18"/>
      <selection pane="topRight" activeCell="B13" sqref="B13"/>
    </sheetView>
  </sheetViews>
  <sheetFormatPr defaultRowHeight="12.75" x14ac:dyDescent="0.2"/>
  <cols>
    <col min="1" max="1" width="13" customWidth="1"/>
  </cols>
  <sheetData>
    <row r="1" spans="1:45" s="1" customFormat="1" x14ac:dyDescent="0.2">
      <c r="A1" s="4" t="s">
        <v>0</v>
      </c>
      <c r="B1" s="4" t="s">
        <v>205</v>
      </c>
      <c r="C1" s="4" t="s">
        <v>206</v>
      </c>
      <c r="D1" s="4" t="s">
        <v>207</v>
      </c>
      <c r="E1" s="4" t="s">
        <v>208</v>
      </c>
      <c r="F1" s="4" t="s">
        <v>209</v>
      </c>
      <c r="G1" s="4" t="s">
        <v>210</v>
      </c>
      <c r="H1" s="4" t="s">
        <v>211</v>
      </c>
      <c r="I1" s="4" t="s">
        <v>212</v>
      </c>
      <c r="J1" s="4" t="s">
        <v>213</v>
      </c>
      <c r="K1" s="4" t="s">
        <v>214</v>
      </c>
      <c r="L1" s="4"/>
      <c r="M1" s="4" t="s">
        <v>215</v>
      </c>
      <c r="N1" s="4" t="s">
        <v>216</v>
      </c>
      <c r="O1" s="4" t="s">
        <v>217</v>
      </c>
      <c r="P1" s="4" t="s">
        <v>218</v>
      </c>
      <c r="Q1" s="4" t="s">
        <v>219</v>
      </c>
      <c r="R1" s="4" t="s">
        <v>220</v>
      </c>
      <c r="S1" s="4" t="s">
        <v>221</v>
      </c>
      <c r="T1" s="4" t="s">
        <v>222</v>
      </c>
      <c r="U1" s="4" t="s">
        <v>223</v>
      </c>
      <c r="V1" s="4" t="s">
        <v>224</v>
      </c>
      <c r="W1" s="4"/>
      <c r="X1" s="4" t="s">
        <v>225</v>
      </c>
      <c r="Y1" s="4" t="s">
        <v>226</v>
      </c>
      <c r="Z1" s="4" t="s">
        <v>227</v>
      </c>
      <c r="AA1" s="4" t="s">
        <v>228</v>
      </c>
      <c r="AB1" s="4" t="s">
        <v>229</v>
      </c>
      <c r="AC1" s="4" t="s">
        <v>230</v>
      </c>
      <c r="AD1" s="4" t="s">
        <v>231</v>
      </c>
      <c r="AE1" s="4" t="s">
        <v>232</v>
      </c>
      <c r="AF1" s="4" t="s">
        <v>233</v>
      </c>
      <c r="AG1" s="4" t="s">
        <v>234</v>
      </c>
      <c r="AH1" s="4"/>
      <c r="AI1" s="4" t="s">
        <v>235</v>
      </c>
      <c r="AJ1" s="4" t="s">
        <v>236</v>
      </c>
      <c r="AK1" s="4" t="s">
        <v>237</v>
      </c>
      <c r="AL1" s="4" t="s">
        <v>238</v>
      </c>
      <c r="AM1" s="4" t="s">
        <v>239</v>
      </c>
      <c r="AN1" s="4" t="s">
        <v>240</v>
      </c>
      <c r="AO1" s="4" t="s">
        <v>241</v>
      </c>
      <c r="AP1" s="4" t="s">
        <v>242</v>
      </c>
      <c r="AQ1" s="4" t="s">
        <v>243</v>
      </c>
      <c r="AR1" s="4" t="s">
        <v>244</v>
      </c>
      <c r="AS1" s="4"/>
    </row>
    <row r="2" spans="1:45" x14ac:dyDescent="0.2">
      <c r="A2" s="3" t="s">
        <v>1</v>
      </c>
      <c r="B2" s="3">
        <v>65</v>
      </c>
      <c r="C2" s="3">
        <v>70</v>
      </c>
      <c r="D2" s="3">
        <v>60</v>
      </c>
      <c r="E2" s="3">
        <v>65</v>
      </c>
      <c r="F2" s="3">
        <v>50</v>
      </c>
      <c r="G2" s="3">
        <v>80</v>
      </c>
      <c r="H2" s="3">
        <v>70</v>
      </c>
      <c r="I2" s="3">
        <v>65</v>
      </c>
      <c r="J2" s="3">
        <v>75</v>
      </c>
      <c r="K2" s="3">
        <v>70</v>
      </c>
      <c r="L2" s="4">
        <f t="shared" ref="L2:L8" si="0">AVERAGE(B2:K2)</f>
        <v>67</v>
      </c>
      <c r="M2" s="3">
        <v>15</v>
      </c>
      <c r="N2" s="3">
        <v>20</v>
      </c>
      <c r="O2" s="3">
        <v>15</v>
      </c>
      <c r="P2" s="3">
        <v>15</v>
      </c>
      <c r="Q2" s="3">
        <v>15</v>
      </c>
      <c r="R2" s="3">
        <v>5</v>
      </c>
      <c r="S2" s="3">
        <v>15</v>
      </c>
      <c r="T2" s="3">
        <v>15</v>
      </c>
      <c r="U2" s="3">
        <v>10</v>
      </c>
      <c r="V2" s="3">
        <v>15</v>
      </c>
      <c r="W2" s="4">
        <f t="shared" ref="W2:W8" si="1">AVERAGE(M2:V2)</f>
        <v>14</v>
      </c>
      <c r="X2" s="3">
        <v>10</v>
      </c>
      <c r="Y2" s="3">
        <v>20</v>
      </c>
      <c r="Z2" s="3">
        <v>35</v>
      </c>
      <c r="AA2" s="3">
        <v>30</v>
      </c>
      <c r="AB2" s="3">
        <v>25</v>
      </c>
      <c r="AC2" s="3">
        <v>45</v>
      </c>
      <c r="AD2" s="3">
        <v>50</v>
      </c>
      <c r="AE2" s="3">
        <v>15</v>
      </c>
      <c r="AF2" s="3">
        <v>55</v>
      </c>
      <c r="AG2" s="3">
        <v>20</v>
      </c>
      <c r="AH2" s="4">
        <f t="shared" ref="AH2:AH8" si="2">AVERAGE(X2:AG2)</f>
        <v>30.5</v>
      </c>
      <c r="AI2" s="3">
        <v>10</v>
      </c>
      <c r="AJ2" s="3">
        <v>20</v>
      </c>
      <c r="AK2" s="3">
        <v>15</v>
      </c>
      <c r="AL2" s="3">
        <v>50</v>
      </c>
      <c r="AM2" s="3">
        <v>35</v>
      </c>
      <c r="AN2" s="3">
        <v>50</v>
      </c>
      <c r="AO2" s="3">
        <v>35</v>
      </c>
      <c r="AP2" s="3">
        <v>65</v>
      </c>
      <c r="AQ2" s="3">
        <v>15</v>
      </c>
      <c r="AR2" s="3">
        <v>25</v>
      </c>
      <c r="AS2" s="4">
        <f t="shared" ref="AS2:AS8" si="3">AVERAGE(AI2:AR2)</f>
        <v>32</v>
      </c>
    </row>
    <row r="3" spans="1:45" x14ac:dyDescent="0.2">
      <c r="A3" s="3" t="s">
        <v>2</v>
      </c>
      <c r="B3" s="3">
        <v>10</v>
      </c>
      <c r="C3" s="3">
        <v>15</v>
      </c>
      <c r="D3" s="3">
        <v>20</v>
      </c>
      <c r="E3" s="3">
        <v>10</v>
      </c>
      <c r="F3" s="3">
        <v>20</v>
      </c>
      <c r="G3" s="3">
        <v>5</v>
      </c>
      <c r="H3" s="3">
        <v>10</v>
      </c>
      <c r="I3" s="3">
        <v>15</v>
      </c>
      <c r="J3" s="3">
        <v>10</v>
      </c>
      <c r="K3" s="3">
        <v>5</v>
      </c>
      <c r="L3" s="4">
        <f t="shared" si="0"/>
        <v>12</v>
      </c>
      <c r="M3" s="3">
        <v>5</v>
      </c>
      <c r="N3" s="3">
        <v>10</v>
      </c>
      <c r="O3" s="3">
        <v>10</v>
      </c>
      <c r="P3" s="3">
        <v>10</v>
      </c>
      <c r="Q3" s="3">
        <v>10</v>
      </c>
      <c r="R3" s="3">
        <v>10</v>
      </c>
      <c r="S3" s="3">
        <v>15</v>
      </c>
      <c r="T3" s="3">
        <v>10</v>
      </c>
      <c r="U3" s="3">
        <v>15</v>
      </c>
      <c r="V3" s="3">
        <v>10</v>
      </c>
      <c r="W3" s="4">
        <f t="shared" si="1"/>
        <v>10.5</v>
      </c>
      <c r="X3" s="3">
        <v>10</v>
      </c>
      <c r="Y3" s="3">
        <v>10</v>
      </c>
      <c r="Z3" s="3">
        <v>5</v>
      </c>
      <c r="AA3" s="3">
        <v>10</v>
      </c>
      <c r="AB3" s="3">
        <v>10</v>
      </c>
      <c r="AC3" s="3">
        <v>15</v>
      </c>
      <c r="AD3" s="3">
        <v>10</v>
      </c>
      <c r="AE3" s="3">
        <v>10</v>
      </c>
      <c r="AF3" s="3">
        <v>5</v>
      </c>
      <c r="AG3" s="3">
        <v>5</v>
      </c>
      <c r="AH3" s="4">
        <f t="shared" si="2"/>
        <v>9</v>
      </c>
      <c r="AI3" s="3">
        <v>5</v>
      </c>
      <c r="AJ3" s="3">
        <v>5</v>
      </c>
      <c r="AK3" s="3">
        <v>10</v>
      </c>
      <c r="AL3" s="3">
        <v>5</v>
      </c>
      <c r="AM3" s="3">
        <v>5</v>
      </c>
      <c r="AN3" s="3">
        <v>5</v>
      </c>
      <c r="AO3" s="3">
        <v>10</v>
      </c>
      <c r="AP3" s="3">
        <v>5</v>
      </c>
      <c r="AQ3" s="3">
        <v>10</v>
      </c>
      <c r="AR3" s="3">
        <v>10</v>
      </c>
      <c r="AS3" s="4">
        <f t="shared" si="3"/>
        <v>7</v>
      </c>
    </row>
    <row r="4" spans="1:45" x14ac:dyDescent="0.2">
      <c r="A4" s="3" t="s">
        <v>3</v>
      </c>
      <c r="B4" s="3">
        <v>5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 t="shared" si="0"/>
        <v>0.5</v>
      </c>
      <c r="M4" s="3">
        <v>40</v>
      </c>
      <c r="N4" s="3">
        <v>30</v>
      </c>
      <c r="O4" s="3">
        <v>35</v>
      </c>
      <c r="P4" s="3">
        <v>30</v>
      </c>
      <c r="Q4" s="3">
        <v>20</v>
      </c>
      <c r="R4" s="3">
        <v>15</v>
      </c>
      <c r="S4" s="3">
        <v>10</v>
      </c>
      <c r="T4" s="3">
        <v>5</v>
      </c>
      <c r="U4" s="3">
        <v>30</v>
      </c>
      <c r="V4" s="3">
        <v>50</v>
      </c>
      <c r="W4" s="4">
        <f t="shared" si="1"/>
        <v>26.5</v>
      </c>
      <c r="X4" s="3">
        <v>25</v>
      </c>
      <c r="Y4" s="3">
        <v>15</v>
      </c>
      <c r="Z4" s="3">
        <v>20</v>
      </c>
      <c r="AA4" s="3">
        <v>0</v>
      </c>
      <c r="AB4" s="3">
        <v>10</v>
      </c>
      <c r="AC4" s="3">
        <v>0</v>
      </c>
      <c r="AD4" s="3">
        <v>15</v>
      </c>
      <c r="AE4" s="3">
        <v>15</v>
      </c>
      <c r="AF4" s="3">
        <v>10</v>
      </c>
      <c r="AG4" s="3">
        <v>40</v>
      </c>
      <c r="AH4" s="4">
        <f t="shared" si="2"/>
        <v>15</v>
      </c>
      <c r="AI4" s="3">
        <v>55</v>
      </c>
      <c r="AJ4" s="3">
        <v>45</v>
      </c>
      <c r="AK4" s="3">
        <v>5</v>
      </c>
      <c r="AL4" s="3">
        <v>15</v>
      </c>
      <c r="AM4" s="3">
        <v>15</v>
      </c>
      <c r="AN4" s="3">
        <v>15</v>
      </c>
      <c r="AO4" s="3">
        <v>10</v>
      </c>
      <c r="AP4" s="3">
        <v>5</v>
      </c>
      <c r="AQ4" s="3">
        <v>50</v>
      </c>
      <c r="AR4" s="3">
        <v>5</v>
      </c>
      <c r="AS4" s="4">
        <f t="shared" si="3"/>
        <v>22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10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1</v>
      </c>
      <c r="M5" s="3">
        <v>5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0.5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5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0.5</v>
      </c>
    </row>
    <row r="6" spans="1:45" x14ac:dyDescent="0.2">
      <c r="A6" s="3" t="s">
        <v>685</v>
      </c>
      <c r="B6" s="3">
        <v>5</v>
      </c>
      <c r="C6" s="3">
        <v>15</v>
      </c>
      <c r="D6" s="3">
        <v>20</v>
      </c>
      <c r="E6" s="3">
        <v>15</v>
      </c>
      <c r="F6" s="3">
        <v>20</v>
      </c>
      <c r="G6" s="3">
        <v>15</v>
      </c>
      <c r="H6" s="3">
        <v>15</v>
      </c>
      <c r="I6" s="3">
        <v>10</v>
      </c>
      <c r="J6" s="3">
        <v>10</v>
      </c>
      <c r="K6" s="3">
        <v>15</v>
      </c>
      <c r="L6" s="4">
        <f t="shared" si="0"/>
        <v>14</v>
      </c>
      <c r="M6" s="3">
        <v>20</v>
      </c>
      <c r="N6" s="3">
        <v>15</v>
      </c>
      <c r="O6" s="3">
        <v>15</v>
      </c>
      <c r="P6" s="3">
        <v>15</v>
      </c>
      <c r="Q6" s="3">
        <v>10</v>
      </c>
      <c r="R6" s="3">
        <v>30</v>
      </c>
      <c r="S6" s="3">
        <v>45</v>
      </c>
      <c r="T6" s="3">
        <v>45</v>
      </c>
      <c r="U6" s="3">
        <v>20</v>
      </c>
      <c r="V6" s="3">
        <v>10</v>
      </c>
      <c r="W6" s="4">
        <f t="shared" si="1"/>
        <v>22.5</v>
      </c>
      <c r="X6" s="3">
        <v>30</v>
      </c>
      <c r="Y6" s="3">
        <v>35</v>
      </c>
      <c r="Z6" s="3">
        <v>20</v>
      </c>
      <c r="AA6" s="3">
        <v>15</v>
      </c>
      <c r="AB6" s="3">
        <v>15</v>
      </c>
      <c r="AC6" s="3">
        <v>20</v>
      </c>
      <c r="AD6" s="3">
        <v>15</v>
      </c>
      <c r="AE6" s="3">
        <v>45</v>
      </c>
      <c r="AF6" s="3">
        <v>15</v>
      </c>
      <c r="AG6" s="3">
        <v>20</v>
      </c>
      <c r="AH6" s="4">
        <f t="shared" si="2"/>
        <v>23</v>
      </c>
      <c r="AI6" s="3">
        <v>10</v>
      </c>
      <c r="AJ6" s="3">
        <v>20</v>
      </c>
      <c r="AK6" s="3">
        <v>45</v>
      </c>
      <c r="AL6" s="3">
        <v>20</v>
      </c>
      <c r="AM6" s="3">
        <v>35</v>
      </c>
      <c r="AN6" s="3">
        <v>25</v>
      </c>
      <c r="AO6" s="3">
        <v>15</v>
      </c>
      <c r="AP6" s="3">
        <v>10</v>
      </c>
      <c r="AQ6" s="3">
        <v>15</v>
      </c>
      <c r="AR6" s="3">
        <v>55</v>
      </c>
      <c r="AS6" s="4">
        <f t="shared" si="3"/>
        <v>25</v>
      </c>
    </row>
    <row r="7" spans="1:45" x14ac:dyDescent="0.2">
      <c r="A7" t="s">
        <v>688</v>
      </c>
      <c r="B7">
        <v>10</v>
      </c>
      <c r="C7">
        <v>0</v>
      </c>
      <c r="D7">
        <v>0</v>
      </c>
      <c r="E7">
        <v>10</v>
      </c>
      <c r="F7">
        <v>0</v>
      </c>
      <c r="G7">
        <v>0</v>
      </c>
      <c r="H7">
        <v>0</v>
      </c>
      <c r="I7">
        <v>10</v>
      </c>
      <c r="J7">
        <v>0</v>
      </c>
      <c r="K7">
        <v>5</v>
      </c>
      <c r="L7" s="4">
        <f t="shared" si="0"/>
        <v>3.5</v>
      </c>
      <c r="M7">
        <v>15</v>
      </c>
      <c r="N7">
        <v>10</v>
      </c>
      <c r="O7">
        <v>10</v>
      </c>
      <c r="P7">
        <v>15</v>
      </c>
      <c r="Q7">
        <v>40</v>
      </c>
      <c r="R7">
        <v>30</v>
      </c>
      <c r="S7">
        <v>10</v>
      </c>
      <c r="T7">
        <v>10</v>
      </c>
      <c r="U7">
        <v>15</v>
      </c>
      <c r="V7">
        <v>15</v>
      </c>
      <c r="W7" s="1">
        <f t="shared" si="1"/>
        <v>17</v>
      </c>
      <c r="X7">
        <v>25</v>
      </c>
      <c r="Y7">
        <v>15</v>
      </c>
      <c r="Z7">
        <v>20</v>
      </c>
      <c r="AA7">
        <v>40</v>
      </c>
      <c r="AB7">
        <v>35</v>
      </c>
      <c r="AC7">
        <v>15</v>
      </c>
      <c r="AD7">
        <v>10</v>
      </c>
      <c r="AE7">
        <v>15</v>
      </c>
      <c r="AF7">
        <v>10</v>
      </c>
      <c r="AG7">
        <v>15</v>
      </c>
      <c r="AH7" s="1">
        <f t="shared" si="2"/>
        <v>20</v>
      </c>
      <c r="AI7">
        <v>10</v>
      </c>
      <c r="AJ7">
        <v>5</v>
      </c>
      <c r="AK7">
        <v>15</v>
      </c>
      <c r="AL7">
        <v>5</v>
      </c>
      <c r="AM7">
        <v>10</v>
      </c>
      <c r="AN7">
        <v>5</v>
      </c>
      <c r="AO7">
        <v>15</v>
      </c>
      <c r="AP7">
        <v>10</v>
      </c>
      <c r="AQ7">
        <v>5</v>
      </c>
      <c r="AR7">
        <v>5</v>
      </c>
      <c r="AS7" s="1">
        <f t="shared" si="3"/>
        <v>8.5</v>
      </c>
    </row>
    <row r="8" spans="1:45" x14ac:dyDescent="0.2">
      <c r="A8" s="18" t="s">
        <v>690</v>
      </c>
      <c r="B8" s="18">
        <v>5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5</v>
      </c>
      <c r="I8" s="18">
        <v>0</v>
      </c>
      <c r="J8" s="18">
        <v>5</v>
      </c>
      <c r="K8" s="18">
        <v>5</v>
      </c>
      <c r="L8" s="17">
        <f t="shared" si="0"/>
        <v>2</v>
      </c>
      <c r="M8" s="18">
        <v>0</v>
      </c>
      <c r="N8" s="18">
        <v>15</v>
      </c>
      <c r="O8" s="18">
        <v>15</v>
      </c>
      <c r="P8" s="18">
        <v>15</v>
      </c>
      <c r="Q8" s="18">
        <v>5</v>
      </c>
      <c r="R8" s="18">
        <v>10</v>
      </c>
      <c r="S8" s="18">
        <v>5</v>
      </c>
      <c r="T8" s="18">
        <v>15</v>
      </c>
      <c r="U8" s="18">
        <v>10</v>
      </c>
      <c r="V8" s="18">
        <v>0</v>
      </c>
      <c r="W8" s="19">
        <f t="shared" si="1"/>
        <v>9</v>
      </c>
      <c r="X8" s="18">
        <v>0</v>
      </c>
      <c r="Y8" s="18">
        <v>5</v>
      </c>
      <c r="Z8" s="18">
        <v>0</v>
      </c>
      <c r="AA8" s="18">
        <v>5</v>
      </c>
      <c r="AB8" s="18">
        <v>5</v>
      </c>
      <c r="AC8" s="18">
        <v>5</v>
      </c>
      <c r="AD8" s="18">
        <v>0</v>
      </c>
      <c r="AE8" s="18">
        <v>0</v>
      </c>
      <c r="AF8" s="18">
        <v>5</v>
      </c>
      <c r="AG8" s="18">
        <v>0</v>
      </c>
      <c r="AH8" s="19">
        <f t="shared" si="2"/>
        <v>2.5</v>
      </c>
      <c r="AI8" s="18">
        <v>10</v>
      </c>
      <c r="AJ8" s="18">
        <v>5</v>
      </c>
      <c r="AK8" s="18">
        <v>5</v>
      </c>
      <c r="AL8" s="18">
        <v>5</v>
      </c>
      <c r="AM8" s="18">
        <v>0</v>
      </c>
      <c r="AN8" s="18">
        <v>0</v>
      </c>
      <c r="AO8" s="18">
        <v>15</v>
      </c>
      <c r="AP8" s="18">
        <v>5</v>
      </c>
      <c r="AQ8" s="18">
        <v>5</v>
      </c>
      <c r="AR8" s="18">
        <v>0</v>
      </c>
      <c r="AS8" s="19">
        <f t="shared" si="3"/>
        <v>5</v>
      </c>
    </row>
    <row r="9" spans="1:45" x14ac:dyDescent="0.2">
      <c r="B9" s="3">
        <f t="shared" ref="B9:J9" si="4">SUM(B2:B8)</f>
        <v>100</v>
      </c>
      <c r="C9">
        <f t="shared" si="4"/>
        <v>100</v>
      </c>
      <c r="D9">
        <f t="shared" si="4"/>
        <v>100</v>
      </c>
      <c r="E9">
        <f t="shared" si="4"/>
        <v>100</v>
      </c>
      <c r="F9">
        <f t="shared" si="4"/>
        <v>100</v>
      </c>
      <c r="G9">
        <f t="shared" si="4"/>
        <v>100</v>
      </c>
      <c r="H9">
        <f t="shared" si="4"/>
        <v>100</v>
      </c>
      <c r="I9">
        <f t="shared" si="4"/>
        <v>100</v>
      </c>
      <c r="J9">
        <f t="shared" si="4"/>
        <v>100</v>
      </c>
      <c r="K9">
        <f t="shared" ref="K9:AS9" si="5">SUM(K2:K8)</f>
        <v>100</v>
      </c>
      <c r="L9" s="4">
        <f t="shared" si="5"/>
        <v>100</v>
      </c>
      <c r="M9">
        <f t="shared" si="5"/>
        <v>100</v>
      </c>
      <c r="N9">
        <f t="shared" si="5"/>
        <v>100</v>
      </c>
      <c r="O9">
        <f t="shared" si="5"/>
        <v>100</v>
      </c>
      <c r="P9">
        <f t="shared" si="5"/>
        <v>100</v>
      </c>
      <c r="Q9">
        <f t="shared" si="5"/>
        <v>100</v>
      </c>
      <c r="R9">
        <f t="shared" si="5"/>
        <v>100</v>
      </c>
      <c r="S9">
        <f t="shared" si="5"/>
        <v>100</v>
      </c>
      <c r="T9">
        <f t="shared" si="5"/>
        <v>100</v>
      </c>
      <c r="U9">
        <f t="shared" si="5"/>
        <v>100</v>
      </c>
      <c r="V9">
        <f t="shared" si="5"/>
        <v>100</v>
      </c>
      <c r="W9" s="1">
        <f t="shared" si="5"/>
        <v>100</v>
      </c>
      <c r="X9">
        <f t="shared" si="5"/>
        <v>100</v>
      </c>
      <c r="Y9">
        <f t="shared" si="5"/>
        <v>100</v>
      </c>
      <c r="Z9">
        <f t="shared" si="5"/>
        <v>100</v>
      </c>
      <c r="AA9">
        <f t="shared" si="5"/>
        <v>100</v>
      </c>
      <c r="AB9">
        <f t="shared" si="5"/>
        <v>100</v>
      </c>
      <c r="AC9">
        <f t="shared" si="5"/>
        <v>100</v>
      </c>
      <c r="AD9">
        <f t="shared" si="5"/>
        <v>100</v>
      </c>
      <c r="AE9">
        <f t="shared" si="5"/>
        <v>100</v>
      </c>
      <c r="AF9">
        <f t="shared" si="5"/>
        <v>100</v>
      </c>
      <c r="AG9">
        <f t="shared" si="5"/>
        <v>100</v>
      </c>
      <c r="AH9" s="1">
        <f t="shared" si="5"/>
        <v>100</v>
      </c>
      <c r="AI9">
        <f t="shared" si="5"/>
        <v>100</v>
      </c>
      <c r="AJ9">
        <f t="shared" si="5"/>
        <v>100</v>
      </c>
      <c r="AK9">
        <f t="shared" si="5"/>
        <v>100</v>
      </c>
      <c r="AL9">
        <f t="shared" si="5"/>
        <v>100</v>
      </c>
      <c r="AM9">
        <f t="shared" si="5"/>
        <v>100</v>
      </c>
      <c r="AN9">
        <f t="shared" si="5"/>
        <v>100</v>
      </c>
      <c r="AO9">
        <f t="shared" si="5"/>
        <v>100</v>
      </c>
      <c r="AP9">
        <f t="shared" si="5"/>
        <v>100</v>
      </c>
      <c r="AQ9">
        <f t="shared" si="5"/>
        <v>100</v>
      </c>
      <c r="AR9">
        <f t="shared" si="5"/>
        <v>100</v>
      </c>
      <c r="AS9" s="1">
        <f t="shared" si="5"/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3"/>
  <sheetViews>
    <sheetView zoomScale="64" zoomScaleNormal="64" workbookViewId="0">
      <pane xSplit="1" topLeftCell="B1" activePane="topRight" state="frozen"/>
      <selection activeCell="H18" sqref="H18"/>
      <selection pane="topRight" activeCell="AS12" sqref="AS12"/>
    </sheetView>
  </sheetViews>
  <sheetFormatPr defaultRowHeight="12.75" x14ac:dyDescent="0.2"/>
  <cols>
    <col min="1" max="1" width="12.7109375" customWidth="1"/>
  </cols>
  <sheetData>
    <row r="1" spans="1:45" s="4" customFormat="1" x14ac:dyDescent="0.2">
      <c r="A1" s="4" t="s">
        <v>0</v>
      </c>
      <c r="B1" s="4" t="s">
        <v>245</v>
      </c>
      <c r="C1" s="4" t="s">
        <v>246</v>
      </c>
      <c r="D1" s="4" t="s">
        <v>247</v>
      </c>
      <c r="E1" s="4" t="s">
        <v>248</v>
      </c>
      <c r="F1" s="4" t="s">
        <v>249</v>
      </c>
      <c r="G1" s="4" t="s">
        <v>250</v>
      </c>
      <c r="H1" s="4" t="s">
        <v>251</v>
      </c>
      <c r="I1" s="4" t="s">
        <v>252</v>
      </c>
      <c r="J1" s="4" t="s">
        <v>253</v>
      </c>
      <c r="K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X1" s="4" t="s">
        <v>265</v>
      </c>
      <c r="Y1" s="4" t="s">
        <v>266</v>
      </c>
      <c r="Z1" s="4" t="s">
        <v>267</v>
      </c>
      <c r="AA1" s="4" t="s">
        <v>268</v>
      </c>
      <c r="AB1" s="4" t="s">
        <v>269</v>
      </c>
      <c r="AC1" s="4" t="s">
        <v>270</v>
      </c>
      <c r="AD1" s="4" t="s">
        <v>271</v>
      </c>
      <c r="AE1" s="4" t="s">
        <v>272</v>
      </c>
      <c r="AF1" s="4" t="s">
        <v>273</v>
      </c>
      <c r="AG1" s="4" t="s">
        <v>274</v>
      </c>
      <c r="AI1" s="4" t="s">
        <v>275</v>
      </c>
      <c r="AJ1" s="4" t="s">
        <v>276</v>
      </c>
      <c r="AK1" s="4" t="s">
        <v>277</v>
      </c>
      <c r="AL1" s="4" t="s">
        <v>278</v>
      </c>
      <c r="AM1" s="4" t="s">
        <v>279</v>
      </c>
      <c r="AN1" s="4" t="s">
        <v>280</v>
      </c>
      <c r="AO1" s="4" t="s">
        <v>281</v>
      </c>
      <c r="AP1" s="4" t="s">
        <v>282</v>
      </c>
      <c r="AQ1" s="4" t="s">
        <v>283</v>
      </c>
      <c r="AR1" s="4" t="s">
        <v>284</v>
      </c>
    </row>
    <row r="2" spans="1:45" s="3" customFormat="1" x14ac:dyDescent="0.2">
      <c r="A2" s="3" t="s">
        <v>1</v>
      </c>
      <c r="B2" s="3">
        <v>5</v>
      </c>
      <c r="C2" s="3">
        <v>5</v>
      </c>
      <c r="D2" s="3">
        <v>5</v>
      </c>
      <c r="E2" s="3">
        <v>5</v>
      </c>
      <c r="F2" s="3">
        <v>5</v>
      </c>
      <c r="G2" s="3">
        <v>5</v>
      </c>
      <c r="H2" s="3">
        <v>5</v>
      </c>
      <c r="I2" s="3">
        <v>3</v>
      </c>
      <c r="J2" s="3">
        <v>15</v>
      </c>
      <c r="K2" s="3">
        <v>25</v>
      </c>
      <c r="L2" s="4">
        <f t="shared" ref="L2:L8" si="0">AVERAGE(B2:K2)</f>
        <v>7.8</v>
      </c>
      <c r="M2" s="3">
        <v>10</v>
      </c>
      <c r="N2" s="3">
        <v>5</v>
      </c>
      <c r="O2" s="3">
        <v>10</v>
      </c>
      <c r="P2" s="3">
        <v>15</v>
      </c>
      <c r="Q2" s="3">
        <v>35</v>
      </c>
      <c r="R2" s="3">
        <v>10</v>
      </c>
      <c r="S2" s="3">
        <v>5</v>
      </c>
      <c r="T2" s="3">
        <v>10</v>
      </c>
      <c r="U2" s="3">
        <v>3</v>
      </c>
      <c r="V2" s="3">
        <v>0</v>
      </c>
      <c r="W2" s="4">
        <f t="shared" ref="W2:W8" si="1">AVERAGE(M2:V2)</f>
        <v>10.3</v>
      </c>
      <c r="X2" s="3">
        <v>5</v>
      </c>
      <c r="Y2" s="3">
        <v>0</v>
      </c>
      <c r="Z2" s="3">
        <v>70</v>
      </c>
      <c r="AA2" s="3">
        <v>5</v>
      </c>
      <c r="AB2" s="3">
        <v>10</v>
      </c>
      <c r="AC2" s="3">
        <v>0</v>
      </c>
      <c r="AD2" s="3">
        <v>5</v>
      </c>
      <c r="AE2" s="3">
        <v>0</v>
      </c>
      <c r="AF2" s="3">
        <v>0</v>
      </c>
      <c r="AG2" s="3">
        <v>10</v>
      </c>
      <c r="AH2" s="4">
        <f t="shared" ref="AH2:AH9" si="2">AVERAGE(X2:AG2)</f>
        <v>10.5</v>
      </c>
      <c r="AI2" s="3">
        <v>45</v>
      </c>
      <c r="AJ2" s="3">
        <v>55</v>
      </c>
      <c r="AK2" s="3">
        <v>10</v>
      </c>
      <c r="AL2" s="3">
        <v>10</v>
      </c>
      <c r="AM2" s="3">
        <v>5</v>
      </c>
      <c r="AN2" s="3">
        <v>5</v>
      </c>
      <c r="AO2" s="3">
        <v>0</v>
      </c>
      <c r="AP2" s="3">
        <v>25</v>
      </c>
      <c r="AQ2" s="3">
        <v>45</v>
      </c>
      <c r="AR2" s="3">
        <v>0</v>
      </c>
      <c r="AS2" s="4">
        <f t="shared" ref="AS2:AS9" si="3">AVERAGE(AI2:AR2)</f>
        <v>20</v>
      </c>
    </row>
    <row r="3" spans="1:45" s="3" customFormat="1" x14ac:dyDescent="0.2">
      <c r="A3" s="3" t="s">
        <v>2</v>
      </c>
      <c r="B3" s="3">
        <v>15</v>
      </c>
      <c r="C3" s="3">
        <v>10</v>
      </c>
      <c r="D3" s="3">
        <v>5</v>
      </c>
      <c r="E3" s="3">
        <v>30</v>
      </c>
      <c r="F3" s="3">
        <v>10</v>
      </c>
      <c r="G3" s="3">
        <v>0</v>
      </c>
      <c r="H3" s="3">
        <v>15</v>
      </c>
      <c r="I3" s="3">
        <v>25</v>
      </c>
      <c r="J3" s="3">
        <v>10</v>
      </c>
      <c r="K3" s="3">
        <v>45</v>
      </c>
      <c r="L3" s="4">
        <f t="shared" si="0"/>
        <v>16.5</v>
      </c>
      <c r="M3" s="3">
        <v>60</v>
      </c>
      <c r="N3" s="3">
        <v>45</v>
      </c>
      <c r="O3" s="3">
        <v>45</v>
      </c>
      <c r="P3" s="3">
        <v>45</v>
      </c>
      <c r="Q3" s="3">
        <v>40</v>
      </c>
      <c r="R3" s="3">
        <v>5</v>
      </c>
      <c r="S3" s="3">
        <v>0</v>
      </c>
      <c r="T3" s="3">
        <v>35</v>
      </c>
      <c r="U3" s="3">
        <v>30</v>
      </c>
      <c r="V3" s="3">
        <v>25</v>
      </c>
      <c r="W3" s="4">
        <f t="shared" si="1"/>
        <v>33</v>
      </c>
      <c r="X3" s="3">
        <v>25</v>
      </c>
      <c r="Y3" s="3">
        <v>60</v>
      </c>
      <c r="Z3" s="3">
        <v>15</v>
      </c>
      <c r="AA3" s="3">
        <v>55</v>
      </c>
      <c r="AB3" s="3">
        <v>40</v>
      </c>
      <c r="AC3" s="3">
        <v>35</v>
      </c>
      <c r="AD3" s="3">
        <v>20</v>
      </c>
      <c r="AE3" s="3">
        <v>40</v>
      </c>
      <c r="AF3" s="3">
        <v>20</v>
      </c>
      <c r="AG3" s="3">
        <v>30</v>
      </c>
      <c r="AH3" s="4">
        <f t="shared" si="2"/>
        <v>34</v>
      </c>
      <c r="AI3" s="3">
        <v>0</v>
      </c>
      <c r="AJ3" s="3">
        <v>0</v>
      </c>
      <c r="AK3" s="3">
        <v>10</v>
      </c>
      <c r="AL3" s="3">
        <v>60</v>
      </c>
      <c r="AM3" s="3">
        <v>10</v>
      </c>
      <c r="AN3" s="3">
        <v>10</v>
      </c>
      <c r="AO3" s="3">
        <v>25</v>
      </c>
      <c r="AP3" s="3">
        <v>65</v>
      </c>
      <c r="AQ3" s="3">
        <v>35</v>
      </c>
      <c r="AR3" s="3">
        <v>77</v>
      </c>
      <c r="AS3" s="4">
        <f t="shared" si="3"/>
        <v>29.2</v>
      </c>
    </row>
    <row r="4" spans="1:45" s="3" customFormat="1" x14ac:dyDescent="0.2">
      <c r="A4" s="3" t="s">
        <v>3</v>
      </c>
      <c r="B4" s="3">
        <v>10</v>
      </c>
      <c r="C4" s="3">
        <v>25</v>
      </c>
      <c r="D4" s="3">
        <v>10</v>
      </c>
      <c r="E4" s="3">
        <v>5</v>
      </c>
      <c r="F4" s="3">
        <v>15</v>
      </c>
      <c r="G4" s="3">
        <v>5</v>
      </c>
      <c r="H4" s="3">
        <v>10</v>
      </c>
      <c r="I4" s="3">
        <v>5</v>
      </c>
      <c r="J4" s="3">
        <v>5</v>
      </c>
      <c r="K4" s="3">
        <v>10</v>
      </c>
      <c r="L4" s="4">
        <f t="shared" si="0"/>
        <v>10</v>
      </c>
      <c r="M4" s="3">
        <v>5</v>
      </c>
      <c r="N4" s="3">
        <v>15</v>
      </c>
      <c r="O4" s="3">
        <v>15</v>
      </c>
      <c r="P4" s="3">
        <v>10</v>
      </c>
      <c r="Q4" s="3">
        <v>5</v>
      </c>
      <c r="R4" s="3">
        <v>55</v>
      </c>
      <c r="S4" s="3">
        <v>5</v>
      </c>
      <c r="T4" s="3">
        <v>25</v>
      </c>
      <c r="U4" s="3">
        <v>5</v>
      </c>
      <c r="V4" s="3">
        <v>55</v>
      </c>
      <c r="W4" s="4">
        <f t="shared" si="1"/>
        <v>19.5</v>
      </c>
      <c r="X4" s="3">
        <v>10</v>
      </c>
      <c r="Y4" s="3">
        <v>5</v>
      </c>
      <c r="Z4" s="3">
        <v>10</v>
      </c>
      <c r="AA4" s="3">
        <v>10</v>
      </c>
      <c r="AB4" s="3">
        <v>25</v>
      </c>
      <c r="AC4" s="3">
        <v>35</v>
      </c>
      <c r="AD4" s="3">
        <v>5</v>
      </c>
      <c r="AE4" s="3">
        <v>10</v>
      </c>
      <c r="AF4" s="3">
        <v>10</v>
      </c>
      <c r="AG4" s="3">
        <v>15</v>
      </c>
      <c r="AH4" s="4">
        <f t="shared" si="2"/>
        <v>13.5</v>
      </c>
      <c r="AI4" s="3">
        <v>15</v>
      </c>
      <c r="AJ4" s="3">
        <v>10</v>
      </c>
      <c r="AK4" s="3">
        <v>5</v>
      </c>
      <c r="AL4" s="3">
        <v>15</v>
      </c>
      <c r="AM4" s="3">
        <v>15</v>
      </c>
      <c r="AN4" s="3">
        <v>15</v>
      </c>
      <c r="AO4" s="3">
        <v>5</v>
      </c>
      <c r="AP4" s="3">
        <v>5</v>
      </c>
      <c r="AQ4" s="3">
        <v>0</v>
      </c>
      <c r="AR4" s="3">
        <v>5</v>
      </c>
      <c r="AS4" s="4">
        <f t="shared" si="3"/>
        <v>9</v>
      </c>
    </row>
    <row r="5" spans="1:45" s="3" customFormat="1" x14ac:dyDescent="0.2">
      <c r="A5" s="3" t="s">
        <v>686</v>
      </c>
      <c r="B5" s="3">
        <v>0</v>
      </c>
      <c r="C5" s="3">
        <v>25</v>
      </c>
      <c r="D5" s="3">
        <v>0</v>
      </c>
      <c r="E5" s="3">
        <v>0</v>
      </c>
      <c r="F5" s="3">
        <v>0</v>
      </c>
      <c r="G5" s="3">
        <v>45</v>
      </c>
      <c r="H5" s="3">
        <v>0</v>
      </c>
      <c r="I5" s="3">
        <v>0</v>
      </c>
      <c r="J5" s="3">
        <v>20</v>
      </c>
      <c r="K5" s="3">
        <v>0</v>
      </c>
      <c r="L5" s="4">
        <f t="shared" si="0"/>
        <v>9</v>
      </c>
      <c r="M5" s="3">
        <v>0</v>
      </c>
      <c r="N5" s="3">
        <v>5</v>
      </c>
      <c r="O5" s="3">
        <v>0</v>
      </c>
      <c r="P5" s="3">
        <v>0</v>
      </c>
      <c r="Q5" s="3">
        <v>0</v>
      </c>
      <c r="R5" s="3">
        <v>0</v>
      </c>
      <c r="S5" s="3">
        <v>5</v>
      </c>
      <c r="T5" s="3">
        <v>0</v>
      </c>
      <c r="U5" s="3">
        <v>47</v>
      </c>
      <c r="V5" s="3">
        <v>5</v>
      </c>
      <c r="W5" s="4">
        <f t="shared" si="1"/>
        <v>6.2</v>
      </c>
      <c r="X5" s="3">
        <v>2</v>
      </c>
      <c r="Y5" s="3">
        <v>0</v>
      </c>
      <c r="Z5" s="3">
        <v>0</v>
      </c>
      <c r="AA5" s="3">
        <v>0</v>
      </c>
      <c r="AB5" s="3">
        <v>15</v>
      </c>
      <c r="AC5" s="3">
        <v>5</v>
      </c>
      <c r="AD5" s="3">
        <v>15</v>
      </c>
      <c r="AE5" s="3">
        <v>5</v>
      </c>
      <c r="AF5" s="3">
        <v>20</v>
      </c>
      <c r="AG5" s="3">
        <v>0</v>
      </c>
      <c r="AH5" s="4">
        <f t="shared" si="2"/>
        <v>6.2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s="3" customFormat="1" x14ac:dyDescent="0.2">
      <c r="A6" s="3" t="s">
        <v>685</v>
      </c>
      <c r="B6" s="3">
        <v>5</v>
      </c>
      <c r="C6" s="3">
        <v>5</v>
      </c>
      <c r="D6" s="3">
        <v>20</v>
      </c>
      <c r="E6" s="3">
        <v>5</v>
      </c>
      <c r="F6" s="3">
        <v>35</v>
      </c>
      <c r="G6" s="3">
        <v>0</v>
      </c>
      <c r="H6" s="3">
        <v>35</v>
      </c>
      <c r="I6" s="3">
        <v>0</v>
      </c>
      <c r="J6" s="3">
        <v>5</v>
      </c>
      <c r="K6" s="3">
        <v>5</v>
      </c>
      <c r="L6" s="4">
        <f t="shared" si="0"/>
        <v>11.5</v>
      </c>
      <c r="M6" s="3">
        <v>15</v>
      </c>
      <c r="N6" s="3">
        <v>5</v>
      </c>
      <c r="O6" s="3">
        <v>0</v>
      </c>
      <c r="P6" s="3">
        <v>5</v>
      </c>
      <c r="Q6" s="3">
        <v>5</v>
      </c>
      <c r="R6" s="3">
        <v>5</v>
      </c>
      <c r="S6" s="3">
        <v>5</v>
      </c>
      <c r="T6" s="3">
        <v>5</v>
      </c>
      <c r="U6" s="3">
        <v>5</v>
      </c>
      <c r="V6" s="3">
        <v>0</v>
      </c>
      <c r="W6" s="4">
        <f t="shared" si="1"/>
        <v>5</v>
      </c>
      <c r="X6" s="3">
        <v>5</v>
      </c>
      <c r="Y6" s="3">
        <v>5</v>
      </c>
      <c r="Z6" s="3">
        <v>0</v>
      </c>
      <c r="AA6" s="3">
        <v>0</v>
      </c>
      <c r="AB6" s="3">
        <v>5</v>
      </c>
      <c r="AC6" s="3">
        <v>0</v>
      </c>
      <c r="AD6" s="3">
        <v>5</v>
      </c>
      <c r="AE6" s="3">
        <v>15</v>
      </c>
      <c r="AF6" s="3">
        <v>10</v>
      </c>
      <c r="AG6" s="3">
        <v>15</v>
      </c>
      <c r="AH6" s="4">
        <f t="shared" si="2"/>
        <v>6</v>
      </c>
      <c r="AI6" s="3">
        <v>5</v>
      </c>
      <c r="AJ6" s="3">
        <v>25</v>
      </c>
      <c r="AK6" s="3">
        <v>15</v>
      </c>
      <c r="AL6" s="3">
        <v>5</v>
      </c>
      <c r="AM6" s="3">
        <v>40</v>
      </c>
      <c r="AN6" s="3">
        <v>55</v>
      </c>
      <c r="AO6" s="3">
        <v>60</v>
      </c>
      <c r="AP6" s="3">
        <v>0</v>
      </c>
      <c r="AQ6" s="3">
        <v>5</v>
      </c>
      <c r="AR6" s="3">
        <v>10</v>
      </c>
      <c r="AS6" s="4">
        <f t="shared" si="3"/>
        <v>22</v>
      </c>
    </row>
    <row r="7" spans="1:45" s="3" customFormat="1" x14ac:dyDescent="0.2">
      <c r="A7" s="3" t="s">
        <v>688</v>
      </c>
      <c r="B7" s="3">
        <v>60</v>
      </c>
      <c r="C7" s="3">
        <v>20</v>
      </c>
      <c r="D7" s="3">
        <v>45</v>
      </c>
      <c r="E7" s="3">
        <v>30</v>
      </c>
      <c r="F7" s="3">
        <v>25</v>
      </c>
      <c r="G7" s="3">
        <v>35</v>
      </c>
      <c r="H7" s="3">
        <v>30</v>
      </c>
      <c r="I7" s="3">
        <v>62</v>
      </c>
      <c r="J7" s="3">
        <v>35</v>
      </c>
      <c r="K7" s="3">
        <v>15</v>
      </c>
      <c r="L7" s="4">
        <f t="shared" si="0"/>
        <v>35.700000000000003</v>
      </c>
      <c r="M7" s="3">
        <v>10</v>
      </c>
      <c r="N7" s="3">
        <v>20</v>
      </c>
      <c r="O7" s="3">
        <v>25</v>
      </c>
      <c r="P7" s="3">
        <v>10</v>
      </c>
      <c r="Q7" s="3">
        <v>10</v>
      </c>
      <c r="R7" s="3">
        <v>25</v>
      </c>
      <c r="S7" s="3">
        <v>75</v>
      </c>
      <c r="T7" s="3">
        <v>20</v>
      </c>
      <c r="U7" s="3">
        <v>10</v>
      </c>
      <c r="V7" s="3">
        <v>10</v>
      </c>
      <c r="W7" s="4">
        <f t="shared" si="1"/>
        <v>21.5</v>
      </c>
      <c r="X7" s="3">
        <v>48</v>
      </c>
      <c r="Y7" s="3">
        <v>25</v>
      </c>
      <c r="Z7" s="3">
        <v>5</v>
      </c>
      <c r="AA7" s="3">
        <v>25</v>
      </c>
      <c r="AB7" s="3">
        <v>0</v>
      </c>
      <c r="AC7" s="3">
        <v>20</v>
      </c>
      <c r="AD7" s="3">
        <v>40</v>
      </c>
      <c r="AE7" s="3">
        <v>25</v>
      </c>
      <c r="AF7" s="3">
        <v>35</v>
      </c>
      <c r="AG7" s="3">
        <v>25</v>
      </c>
      <c r="AH7" s="4">
        <f t="shared" si="2"/>
        <v>24.8</v>
      </c>
      <c r="AI7" s="3">
        <v>10</v>
      </c>
      <c r="AJ7" s="3">
        <v>5</v>
      </c>
      <c r="AK7" s="3">
        <v>40</v>
      </c>
      <c r="AL7" s="3">
        <v>0</v>
      </c>
      <c r="AM7" s="3">
        <v>5</v>
      </c>
      <c r="AN7" s="3">
        <v>10</v>
      </c>
      <c r="AO7" s="3">
        <v>5</v>
      </c>
      <c r="AP7" s="3">
        <v>0</v>
      </c>
      <c r="AQ7" s="3">
        <v>10</v>
      </c>
      <c r="AR7" s="3">
        <v>5</v>
      </c>
      <c r="AS7" s="4">
        <f t="shared" si="3"/>
        <v>9</v>
      </c>
    </row>
    <row r="8" spans="1:45" s="3" customFormat="1" x14ac:dyDescent="0.2">
      <c r="A8" s="16" t="s">
        <v>690</v>
      </c>
      <c r="B8" s="16">
        <v>5</v>
      </c>
      <c r="C8" s="16">
        <v>10</v>
      </c>
      <c r="D8" s="16">
        <v>15</v>
      </c>
      <c r="E8" s="16">
        <v>25</v>
      </c>
      <c r="F8" s="16">
        <v>10</v>
      </c>
      <c r="G8" s="16">
        <v>10</v>
      </c>
      <c r="H8" s="16">
        <v>5</v>
      </c>
      <c r="I8" s="16">
        <v>5</v>
      </c>
      <c r="J8" s="16">
        <v>10</v>
      </c>
      <c r="K8" s="16">
        <v>0</v>
      </c>
      <c r="L8" s="17">
        <f t="shared" si="0"/>
        <v>9.5</v>
      </c>
      <c r="M8" s="16">
        <v>0</v>
      </c>
      <c r="N8" s="16">
        <v>5</v>
      </c>
      <c r="O8" s="16">
        <v>5</v>
      </c>
      <c r="P8" s="16">
        <v>15</v>
      </c>
      <c r="Q8" s="16">
        <v>5</v>
      </c>
      <c r="R8" s="16">
        <v>0</v>
      </c>
      <c r="S8" s="16">
        <v>5</v>
      </c>
      <c r="T8" s="16">
        <v>5</v>
      </c>
      <c r="U8" s="16">
        <v>0</v>
      </c>
      <c r="V8" s="16">
        <v>5</v>
      </c>
      <c r="W8" s="17">
        <f t="shared" si="1"/>
        <v>4.5</v>
      </c>
      <c r="X8" s="16">
        <v>5</v>
      </c>
      <c r="Y8" s="16">
        <v>5</v>
      </c>
      <c r="Z8" s="16">
        <v>0</v>
      </c>
      <c r="AA8" s="16">
        <v>5</v>
      </c>
      <c r="AB8" s="16">
        <v>5</v>
      </c>
      <c r="AC8" s="16">
        <v>5</v>
      </c>
      <c r="AD8" s="16">
        <v>10</v>
      </c>
      <c r="AE8" s="16">
        <v>5</v>
      </c>
      <c r="AF8" s="16">
        <v>5</v>
      </c>
      <c r="AG8" s="16">
        <v>5</v>
      </c>
      <c r="AH8" s="17">
        <f t="shared" si="2"/>
        <v>5</v>
      </c>
      <c r="AI8" s="16">
        <v>25</v>
      </c>
      <c r="AJ8" s="16">
        <v>5</v>
      </c>
      <c r="AK8" s="16">
        <v>20</v>
      </c>
      <c r="AL8" s="16">
        <v>10</v>
      </c>
      <c r="AM8" s="16">
        <v>25</v>
      </c>
      <c r="AN8" s="16">
        <v>5</v>
      </c>
      <c r="AO8" s="16">
        <v>5</v>
      </c>
      <c r="AP8" s="16">
        <v>5</v>
      </c>
      <c r="AQ8" s="16">
        <v>5</v>
      </c>
      <c r="AR8" s="16">
        <v>3</v>
      </c>
      <c r="AS8" s="17">
        <f t="shared" si="3"/>
        <v>10.8</v>
      </c>
    </row>
    <row r="9" spans="1:45" s="3" customFormat="1" x14ac:dyDescent="0.2">
      <c r="B9" s="3">
        <f t="shared" ref="B9:L9" si="4">SUM(B2:B8)</f>
        <v>100</v>
      </c>
      <c r="C9" s="3">
        <f t="shared" si="4"/>
        <v>100</v>
      </c>
      <c r="D9" s="3">
        <f t="shared" si="4"/>
        <v>100</v>
      </c>
      <c r="E9" s="3">
        <f t="shared" si="4"/>
        <v>100</v>
      </c>
      <c r="F9" s="3">
        <f t="shared" si="4"/>
        <v>100</v>
      </c>
      <c r="G9" s="3">
        <f t="shared" si="4"/>
        <v>100</v>
      </c>
      <c r="H9" s="3">
        <f t="shared" si="4"/>
        <v>100</v>
      </c>
      <c r="I9" s="3">
        <f t="shared" si="4"/>
        <v>100</v>
      </c>
      <c r="J9" s="3">
        <f t="shared" si="4"/>
        <v>100</v>
      </c>
      <c r="K9" s="3">
        <f t="shared" si="4"/>
        <v>100</v>
      </c>
      <c r="L9" s="4">
        <f t="shared" si="4"/>
        <v>100</v>
      </c>
      <c r="M9" s="3">
        <f t="shared" ref="M9:W9" si="5">SUM(M2:M8)</f>
        <v>100</v>
      </c>
      <c r="N9" s="3">
        <f t="shared" si="5"/>
        <v>100</v>
      </c>
      <c r="O9" s="3">
        <f t="shared" si="5"/>
        <v>100</v>
      </c>
      <c r="P9" s="3">
        <f t="shared" si="5"/>
        <v>100</v>
      </c>
      <c r="Q9" s="3">
        <f t="shared" si="5"/>
        <v>100</v>
      </c>
      <c r="R9" s="3">
        <f t="shared" si="5"/>
        <v>100</v>
      </c>
      <c r="S9" s="3">
        <f t="shared" si="5"/>
        <v>100</v>
      </c>
      <c r="T9" s="3">
        <f t="shared" si="5"/>
        <v>100</v>
      </c>
      <c r="U9" s="3">
        <f t="shared" si="5"/>
        <v>100</v>
      </c>
      <c r="V9" s="3">
        <f t="shared" si="5"/>
        <v>100</v>
      </c>
      <c r="W9" s="4">
        <f t="shared" si="5"/>
        <v>100</v>
      </c>
      <c r="X9" s="3">
        <f t="shared" ref="X9:AG9" si="6">SUM(X2:X8)</f>
        <v>100</v>
      </c>
      <c r="Y9" s="3">
        <f t="shared" si="6"/>
        <v>100</v>
      </c>
      <c r="Z9" s="3">
        <f t="shared" si="6"/>
        <v>100</v>
      </c>
      <c r="AA9" s="3">
        <f t="shared" si="6"/>
        <v>100</v>
      </c>
      <c r="AB9" s="3">
        <f t="shared" si="6"/>
        <v>100</v>
      </c>
      <c r="AC9" s="3">
        <f t="shared" si="6"/>
        <v>100</v>
      </c>
      <c r="AD9" s="3">
        <f t="shared" si="6"/>
        <v>100</v>
      </c>
      <c r="AE9" s="3">
        <f t="shared" si="6"/>
        <v>100</v>
      </c>
      <c r="AF9" s="3">
        <f t="shared" si="6"/>
        <v>100</v>
      </c>
      <c r="AG9" s="3">
        <f t="shared" si="6"/>
        <v>100</v>
      </c>
      <c r="AH9" s="4">
        <f t="shared" si="2"/>
        <v>100</v>
      </c>
      <c r="AI9" s="3">
        <f t="shared" ref="AI9:AR9" si="7">SUM(AI2:AI8)</f>
        <v>100</v>
      </c>
      <c r="AJ9" s="3">
        <f t="shared" si="7"/>
        <v>100</v>
      </c>
      <c r="AK9" s="3">
        <f t="shared" si="7"/>
        <v>100</v>
      </c>
      <c r="AL9" s="3">
        <f t="shared" si="7"/>
        <v>100</v>
      </c>
      <c r="AM9" s="3">
        <f t="shared" si="7"/>
        <v>100</v>
      </c>
      <c r="AN9" s="3">
        <f t="shared" si="7"/>
        <v>100</v>
      </c>
      <c r="AO9" s="3">
        <f t="shared" si="7"/>
        <v>100</v>
      </c>
      <c r="AP9" s="3">
        <f t="shared" si="7"/>
        <v>100</v>
      </c>
      <c r="AQ9" s="3">
        <f t="shared" si="7"/>
        <v>100</v>
      </c>
      <c r="AR9" s="3">
        <f t="shared" si="7"/>
        <v>100</v>
      </c>
      <c r="AS9" s="4">
        <f t="shared" si="3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"/>
  <sheetViews>
    <sheetView zoomScale="64" zoomScaleNormal="64" workbookViewId="0">
      <pane xSplit="1" topLeftCell="B1" activePane="topRight" state="frozen"/>
      <selection activeCell="H18" sqref="H18"/>
      <selection pane="topRight" activeCell="B15" sqref="B15"/>
    </sheetView>
  </sheetViews>
  <sheetFormatPr defaultRowHeight="12.75" x14ac:dyDescent="0.2"/>
  <cols>
    <col min="1" max="1" width="12" customWidth="1"/>
  </cols>
  <sheetData>
    <row r="1" spans="1:45" s="4" customFormat="1" x14ac:dyDescent="0.2">
      <c r="A1" s="4" t="s">
        <v>0</v>
      </c>
      <c r="B1" s="6" t="s">
        <v>285</v>
      </c>
      <c r="C1" s="6" t="s">
        <v>286</v>
      </c>
      <c r="D1" s="6" t="s">
        <v>287</v>
      </c>
      <c r="E1" s="6" t="s">
        <v>288</v>
      </c>
      <c r="F1" s="6" t="s">
        <v>289</v>
      </c>
      <c r="G1" s="6" t="s">
        <v>290</v>
      </c>
      <c r="H1" s="6" t="s">
        <v>291</v>
      </c>
      <c r="I1" s="6" t="s">
        <v>292</v>
      </c>
      <c r="J1" s="6" t="s">
        <v>293</v>
      </c>
      <c r="K1" s="6" t="s">
        <v>294</v>
      </c>
      <c r="L1" s="6"/>
      <c r="M1" s="6" t="s">
        <v>295</v>
      </c>
      <c r="N1" s="6" t="s">
        <v>296</v>
      </c>
      <c r="O1" s="6" t="s">
        <v>297</v>
      </c>
      <c r="P1" s="6" t="s">
        <v>298</v>
      </c>
      <c r="Q1" s="6" t="s">
        <v>299</v>
      </c>
      <c r="R1" s="6" t="s">
        <v>300</v>
      </c>
      <c r="S1" s="6" t="s">
        <v>301</v>
      </c>
      <c r="T1" s="6" t="s">
        <v>302</v>
      </c>
      <c r="U1" s="6" t="s">
        <v>303</v>
      </c>
      <c r="V1" s="6" t="s">
        <v>304</v>
      </c>
      <c r="W1" s="6"/>
      <c r="X1" s="6" t="s">
        <v>305</v>
      </c>
      <c r="Y1" s="6" t="s">
        <v>306</v>
      </c>
      <c r="Z1" s="6" t="s">
        <v>307</v>
      </c>
      <c r="AA1" s="6" t="s">
        <v>308</v>
      </c>
      <c r="AB1" s="6" t="s">
        <v>309</v>
      </c>
      <c r="AC1" s="6" t="s">
        <v>310</v>
      </c>
      <c r="AD1" s="6" t="s">
        <v>311</v>
      </c>
      <c r="AE1" s="6" t="s">
        <v>312</v>
      </c>
      <c r="AF1" s="6" t="s">
        <v>313</v>
      </c>
      <c r="AG1" s="6" t="s">
        <v>314</v>
      </c>
      <c r="AH1" s="6"/>
      <c r="AI1" s="6" t="s">
        <v>315</v>
      </c>
      <c r="AJ1" s="6" t="s">
        <v>316</v>
      </c>
      <c r="AK1" s="6" t="s">
        <v>317</v>
      </c>
      <c r="AL1" s="6" t="s">
        <v>318</v>
      </c>
      <c r="AM1" s="6" t="s">
        <v>319</v>
      </c>
      <c r="AN1" s="6" t="s">
        <v>320</v>
      </c>
      <c r="AO1" s="6" t="s">
        <v>321</v>
      </c>
      <c r="AP1" s="6" t="s">
        <v>322</v>
      </c>
      <c r="AQ1" s="6" t="s">
        <v>323</v>
      </c>
      <c r="AR1" s="6" t="s">
        <v>324</v>
      </c>
    </row>
    <row r="2" spans="1:45" s="3" customFormat="1" x14ac:dyDescent="0.2">
      <c r="A2" s="3" t="s">
        <v>1</v>
      </c>
      <c r="B2" s="3">
        <v>30</v>
      </c>
      <c r="C2" s="3">
        <v>5</v>
      </c>
      <c r="D2" s="3">
        <v>10</v>
      </c>
      <c r="E2" s="3">
        <v>5</v>
      </c>
      <c r="F2" s="3">
        <v>0</v>
      </c>
      <c r="G2" s="3">
        <v>5</v>
      </c>
      <c r="H2" s="3">
        <v>25</v>
      </c>
      <c r="I2" s="3">
        <v>10</v>
      </c>
      <c r="J2" s="3">
        <v>20</v>
      </c>
      <c r="K2" s="3">
        <v>20</v>
      </c>
      <c r="L2" s="4">
        <f t="shared" ref="L2:L9" si="0">AVERAGE(B2:K2)</f>
        <v>13</v>
      </c>
      <c r="M2" s="3">
        <v>35</v>
      </c>
      <c r="N2" s="3">
        <v>35</v>
      </c>
      <c r="O2" s="3">
        <v>60</v>
      </c>
      <c r="P2" s="3">
        <v>10</v>
      </c>
      <c r="Q2" s="3">
        <v>15</v>
      </c>
      <c r="R2" s="3">
        <v>25</v>
      </c>
      <c r="S2" s="3">
        <v>25</v>
      </c>
      <c r="T2" s="3">
        <v>25</v>
      </c>
      <c r="U2" s="3">
        <v>20</v>
      </c>
      <c r="V2" s="3">
        <v>50</v>
      </c>
      <c r="W2" s="4">
        <f t="shared" ref="W2:W8" si="1">AVERAGE(M2:V2)</f>
        <v>30</v>
      </c>
      <c r="X2" s="3">
        <v>20</v>
      </c>
      <c r="Y2" s="3">
        <v>5</v>
      </c>
      <c r="Z2" s="3">
        <v>5</v>
      </c>
      <c r="AA2" s="3">
        <v>20</v>
      </c>
      <c r="AB2" s="3">
        <v>20</v>
      </c>
      <c r="AC2" s="3">
        <v>20</v>
      </c>
      <c r="AD2" s="3">
        <v>10</v>
      </c>
      <c r="AE2" s="3">
        <v>25</v>
      </c>
      <c r="AF2" s="3">
        <v>5</v>
      </c>
      <c r="AG2" s="3">
        <v>15</v>
      </c>
      <c r="AH2" s="4">
        <f t="shared" ref="AH2:AH8" si="2">AVERAGE(X2:AG2)</f>
        <v>14.5</v>
      </c>
      <c r="AI2" s="3">
        <v>20</v>
      </c>
      <c r="AJ2" s="3">
        <v>20</v>
      </c>
      <c r="AK2" s="3">
        <v>10</v>
      </c>
      <c r="AL2" s="3">
        <v>15</v>
      </c>
      <c r="AM2" s="3">
        <v>20</v>
      </c>
      <c r="AN2" s="3">
        <v>20</v>
      </c>
      <c r="AO2" s="3">
        <v>15</v>
      </c>
      <c r="AP2" s="3">
        <v>10</v>
      </c>
      <c r="AQ2" s="3">
        <v>15</v>
      </c>
      <c r="AR2" s="3">
        <v>10</v>
      </c>
      <c r="AS2" s="4">
        <f t="shared" ref="AS2:AS8" si="3">AVERAGE(AI2:AR2)</f>
        <v>15.5</v>
      </c>
    </row>
    <row r="3" spans="1:45" s="3" customFormat="1" x14ac:dyDescent="0.2">
      <c r="A3" s="3" t="s">
        <v>2</v>
      </c>
      <c r="B3" s="3">
        <v>10</v>
      </c>
      <c r="C3" s="3">
        <v>20</v>
      </c>
      <c r="D3" s="3">
        <v>35</v>
      </c>
      <c r="E3" s="3">
        <v>20</v>
      </c>
      <c r="F3" s="3">
        <v>10</v>
      </c>
      <c r="G3" s="3">
        <v>10</v>
      </c>
      <c r="H3" s="3">
        <v>20</v>
      </c>
      <c r="I3" s="3">
        <v>20</v>
      </c>
      <c r="J3" s="3">
        <v>20</v>
      </c>
      <c r="K3" s="3">
        <v>15</v>
      </c>
      <c r="L3" s="4">
        <f t="shared" si="0"/>
        <v>18</v>
      </c>
      <c r="M3" s="3">
        <v>10</v>
      </c>
      <c r="N3" s="3">
        <v>20</v>
      </c>
      <c r="O3" s="3">
        <v>5</v>
      </c>
      <c r="P3" s="3">
        <v>20</v>
      </c>
      <c r="Q3" s="3">
        <v>20</v>
      </c>
      <c r="R3" s="3">
        <v>10</v>
      </c>
      <c r="S3" s="3">
        <v>10</v>
      </c>
      <c r="T3" s="3">
        <v>20</v>
      </c>
      <c r="U3" s="3">
        <v>10</v>
      </c>
      <c r="V3" s="3">
        <v>15</v>
      </c>
      <c r="W3" s="4">
        <f t="shared" si="1"/>
        <v>14</v>
      </c>
      <c r="X3" s="3">
        <v>5</v>
      </c>
      <c r="Y3" s="3">
        <v>30</v>
      </c>
      <c r="Z3" s="3">
        <v>20</v>
      </c>
      <c r="AA3" s="3">
        <v>20</v>
      </c>
      <c r="AB3" s="3">
        <v>15</v>
      </c>
      <c r="AC3" s="3">
        <v>35</v>
      </c>
      <c r="AD3" s="3">
        <v>15</v>
      </c>
      <c r="AE3" s="3">
        <v>15</v>
      </c>
      <c r="AF3" s="3">
        <v>15</v>
      </c>
      <c r="AG3" s="3">
        <v>20</v>
      </c>
      <c r="AH3" s="4">
        <f t="shared" si="2"/>
        <v>19</v>
      </c>
      <c r="AI3" s="3">
        <v>15</v>
      </c>
      <c r="AJ3" s="3">
        <v>20</v>
      </c>
      <c r="AK3" s="3">
        <v>15</v>
      </c>
      <c r="AL3" s="3">
        <v>20</v>
      </c>
      <c r="AM3" s="3">
        <v>15</v>
      </c>
      <c r="AN3" s="3">
        <v>10</v>
      </c>
      <c r="AO3" s="3">
        <v>10</v>
      </c>
      <c r="AP3" s="3">
        <v>10</v>
      </c>
      <c r="AQ3" s="3">
        <v>0</v>
      </c>
      <c r="AR3" s="3">
        <v>15</v>
      </c>
      <c r="AS3" s="4">
        <f t="shared" si="3"/>
        <v>13</v>
      </c>
    </row>
    <row r="4" spans="1:45" s="3" customFormat="1" x14ac:dyDescent="0.2">
      <c r="A4" s="3" t="s">
        <v>3</v>
      </c>
      <c r="B4" s="3">
        <v>30</v>
      </c>
      <c r="C4" s="3">
        <v>5</v>
      </c>
      <c r="D4" s="3">
        <v>0</v>
      </c>
      <c r="E4" s="3">
        <v>0</v>
      </c>
      <c r="F4" s="3">
        <v>0</v>
      </c>
      <c r="G4" s="3">
        <v>0</v>
      </c>
      <c r="H4" s="3">
        <v>5</v>
      </c>
      <c r="I4" s="3">
        <v>5</v>
      </c>
      <c r="J4" s="3">
        <v>15</v>
      </c>
      <c r="K4" s="3">
        <v>20</v>
      </c>
      <c r="L4" s="4">
        <f t="shared" si="0"/>
        <v>8</v>
      </c>
      <c r="M4" s="3">
        <v>15</v>
      </c>
      <c r="N4" s="3">
        <v>5</v>
      </c>
      <c r="O4" s="3">
        <v>0</v>
      </c>
      <c r="P4" s="3">
        <v>0</v>
      </c>
      <c r="Q4" s="3">
        <v>0</v>
      </c>
      <c r="R4" s="3">
        <v>5</v>
      </c>
      <c r="S4" s="3">
        <v>5</v>
      </c>
      <c r="T4" s="3">
        <v>5</v>
      </c>
      <c r="U4" s="3">
        <v>10</v>
      </c>
      <c r="V4" s="3">
        <v>5</v>
      </c>
      <c r="W4" s="4">
        <f t="shared" si="1"/>
        <v>5</v>
      </c>
      <c r="X4" s="3">
        <v>15</v>
      </c>
      <c r="Y4" s="3">
        <v>0</v>
      </c>
      <c r="Z4" s="3">
        <v>15</v>
      </c>
      <c r="AA4" s="3">
        <v>0</v>
      </c>
      <c r="AB4" s="3">
        <v>10</v>
      </c>
      <c r="AC4" s="3">
        <v>15</v>
      </c>
      <c r="AD4" s="3">
        <v>15</v>
      </c>
      <c r="AE4" s="3">
        <v>15</v>
      </c>
      <c r="AF4" s="3">
        <v>20</v>
      </c>
      <c r="AG4" s="3">
        <v>15</v>
      </c>
      <c r="AH4" s="4">
        <f t="shared" si="2"/>
        <v>12</v>
      </c>
      <c r="AI4" s="3">
        <v>30</v>
      </c>
      <c r="AJ4" s="3">
        <v>5</v>
      </c>
      <c r="AK4" s="3">
        <v>15</v>
      </c>
      <c r="AL4" s="3">
        <v>10</v>
      </c>
      <c r="AM4" s="3">
        <v>20</v>
      </c>
      <c r="AN4" s="3">
        <v>20</v>
      </c>
      <c r="AO4" s="3">
        <v>20</v>
      </c>
      <c r="AP4" s="3">
        <v>10</v>
      </c>
      <c r="AQ4" s="3">
        <v>0</v>
      </c>
      <c r="AR4" s="3">
        <v>15</v>
      </c>
      <c r="AS4" s="4">
        <f t="shared" si="3"/>
        <v>14.5</v>
      </c>
    </row>
    <row r="5" spans="1:45" s="3" customFormat="1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5</v>
      </c>
      <c r="O5" s="3">
        <v>10</v>
      </c>
      <c r="P5" s="3">
        <v>0</v>
      </c>
      <c r="Q5" s="3">
        <v>0</v>
      </c>
      <c r="R5" s="3">
        <v>5</v>
      </c>
      <c r="S5" s="3">
        <v>0</v>
      </c>
      <c r="T5" s="3">
        <v>15</v>
      </c>
      <c r="U5" s="3">
        <v>20</v>
      </c>
      <c r="V5" s="3">
        <v>0</v>
      </c>
      <c r="W5" s="4">
        <f t="shared" si="1"/>
        <v>5.5</v>
      </c>
      <c r="X5" s="3">
        <v>5</v>
      </c>
      <c r="Y5" s="3">
        <v>5</v>
      </c>
      <c r="Z5" s="3">
        <v>20</v>
      </c>
      <c r="AA5" s="3">
        <v>30</v>
      </c>
      <c r="AB5" s="3">
        <v>10</v>
      </c>
      <c r="AC5" s="3">
        <v>5</v>
      </c>
      <c r="AD5" s="3">
        <v>15</v>
      </c>
      <c r="AE5" s="3">
        <v>15</v>
      </c>
      <c r="AF5" s="3">
        <v>5</v>
      </c>
      <c r="AG5" s="3">
        <v>25</v>
      </c>
      <c r="AH5" s="4">
        <f t="shared" si="2"/>
        <v>13.5</v>
      </c>
      <c r="AI5" s="3">
        <v>0</v>
      </c>
      <c r="AJ5" s="3">
        <v>5</v>
      </c>
      <c r="AK5" s="3">
        <v>10</v>
      </c>
      <c r="AL5" s="3">
        <v>15</v>
      </c>
      <c r="AM5" s="3">
        <v>20</v>
      </c>
      <c r="AN5" s="3">
        <v>25</v>
      </c>
      <c r="AO5" s="3">
        <v>20</v>
      </c>
      <c r="AP5" s="3">
        <v>45</v>
      </c>
      <c r="AQ5" s="3">
        <v>0</v>
      </c>
      <c r="AR5" s="3">
        <v>25</v>
      </c>
      <c r="AS5" s="4">
        <f t="shared" si="3"/>
        <v>16.5</v>
      </c>
    </row>
    <row r="6" spans="1:45" s="3" customFormat="1" x14ac:dyDescent="0.2">
      <c r="A6" s="3" t="s">
        <v>685</v>
      </c>
      <c r="B6" s="3">
        <v>0</v>
      </c>
      <c r="C6" s="3">
        <v>0</v>
      </c>
      <c r="D6" s="3">
        <v>0</v>
      </c>
      <c r="E6" s="3">
        <v>0</v>
      </c>
      <c r="F6" s="3">
        <v>90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4">
        <f t="shared" si="0"/>
        <v>9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5</v>
      </c>
      <c r="T6" s="3">
        <v>0</v>
      </c>
      <c r="U6" s="3">
        <v>0</v>
      </c>
      <c r="V6" s="3">
        <v>0</v>
      </c>
      <c r="W6" s="4">
        <f t="shared" si="1"/>
        <v>0.5</v>
      </c>
      <c r="X6" s="3">
        <v>5</v>
      </c>
      <c r="Y6" s="3">
        <v>10</v>
      </c>
      <c r="Z6" s="3">
        <v>5</v>
      </c>
      <c r="AA6" s="3">
        <v>5</v>
      </c>
      <c r="AB6" s="3">
        <v>5</v>
      </c>
      <c r="AC6" s="3">
        <v>15</v>
      </c>
      <c r="AD6" s="3">
        <v>5</v>
      </c>
      <c r="AE6" s="3">
        <v>10</v>
      </c>
      <c r="AF6" s="3">
        <v>10</v>
      </c>
      <c r="AG6" s="3">
        <v>5</v>
      </c>
      <c r="AH6" s="4">
        <f t="shared" si="2"/>
        <v>7.5</v>
      </c>
      <c r="AI6" s="3">
        <v>0</v>
      </c>
      <c r="AJ6" s="3">
        <v>10</v>
      </c>
      <c r="AK6" s="3">
        <v>30</v>
      </c>
      <c r="AL6" s="3">
        <v>15</v>
      </c>
      <c r="AM6" s="3">
        <v>5</v>
      </c>
      <c r="AN6" s="3">
        <v>15</v>
      </c>
      <c r="AO6" s="3">
        <v>5</v>
      </c>
      <c r="AP6" s="3">
        <v>5</v>
      </c>
      <c r="AQ6" s="3">
        <v>75</v>
      </c>
      <c r="AR6" s="3">
        <v>10</v>
      </c>
      <c r="AS6" s="4">
        <f t="shared" si="3"/>
        <v>17</v>
      </c>
    </row>
    <row r="7" spans="1:45" s="3" customFormat="1" x14ac:dyDescent="0.2">
      <c r="A7" s="3" t="s">
        <v>689</v>
      </c>
      <c r="B7" s="3">
        <v>20</v>
      </c>
      <c r="C7" s="3">
        <v>5</v>
      </c>
      <c r="D7" s="3">
        <v>30</v>
      </c>
      <c r="E7" s="3">
        <v>75</v>
      </c>
      <c r="F7" s="3">
        <v>0</v>
      </c>
      <c r="G7" s="3">
        <v>55</v>
      </c>
      <c r="H7" s="3">
        <v>10</v>
      </c>
      <c r="I7" s="3">
        <v>40</v>
      </c>
      <c r="J7" s="3">
        <v>25</v>
      </c>
      <c r="K7" s="3">
        <v>10</v>
      </c>
      <c r="L7" s="4">
        <f t="shared" si="0"/>
        <v>27</v>
      </c>
      <c r="M7" s="3">
        <v>10</v>
      </c>
      <c r="N7" s="3">
        <v>15</v>
      </c>
      <c r="O7" s="3">
        <v>25</v>
      </c>
      <c r="P7" s="3">
        <v>10</v>
      </c>
      <c r="Q7" s="3">
        <v>10</v>
      </c>
      <c r="R7" s="3">
        <v>40</v>
      </c>
      <c r="S7" s="3">
        <v>35</v>
      </c>
      <c r="T7" s="3">
        <v>30</v>
      </c>
      <c r="U7" s="3">
        <v>20</v>
      </c>
      <c r="V7" s="3">
        <v>20</v>
      </c>
      <c r="W7" s="4">
        <f t="shared" si="1"/>
        <v>21.5</v>
      </c>
      <c r="X7" s="3">
        <v>45</v>
      </c>
      <c r="Y7" s="3">
        <v>45</v>
      </c>
      <c r="Z7" s="3">
        <v>35</v>
      </c>
      <c r="AA7" s="3">
        <v>20</v>
      </c>
      <c r="AB7" s="3">
        <v>30</v>
      </c>
      <c r="AC7" s="3">
        <v>5</v>
      </c>
      <c r="AD7" s="3">
        <v>35</v>
      </c>
      <c r="AE7" s="3">
        <v>20</v>
      </c>
      <c r="AF7" s="3">
        <v>40</v>
      </c>
      <c r="AG7" s="3">
        <v>15</v>
      </c>
      <c r="AH7" s="4">
        <f t="shared" si="2"/>
        <v>29</v>
      </c>
      <c r="AI7" s="3">
        <v>20</v>
      </c>
      <c r="AJ7" s="3">
        <v>35</v>
      </c>
      <c r="AK7" s="3">
        <v>15</v>
      </c>
      <c r="AL7" s="3">
        <v>10</v>
      </c>
      <c r="AM7" s="3">
        <v>10</v>
      </c>
      <c r="AN7" s="3">
        <v>5</v>
      </c>
      <c r="AO7" s="3">
        <v>20</v>
      </c>
      <c r="AP7" s="3">
        <v>10</v>
      </c>
      <c r="AQ7" s="3">
        <v>5</v>
      </c>
      <c r="AR7" s="3">
        <v>20</v>
      </c>
      <c r="AS7" s="4">
        <f t="shared" si="3"/>
        <v>15</v>
      </c>
    </row>
    <row r="8" spans="1:45" s="3" customFormat="1" x14ac:dyDescent="0.2">
      <c r="A8" s="16" t="s">
        <v>690</v>
      </c>
      <c r="B8" s="16">
        <v>10</v>
      </c>
      <c r="C8" s="16">
        <v>65</v>
      </c>
      <c r="D8" s="16">
        <v>25</v>
      </c>
      <c r="E8" s="16">
        <v>0</v>
      </c>
      <c r="F8" s="16">
        <v>0</v>
      </c>
      <c r="G8" s="16">
        <v>30</v>
      </c>
      <c r="H8" s="16">
        <v>40</v>
      </c>
      <c r="I8" s="16">
        <v>25</v>
      </c>
      <c r="J8" s="16">
        <v>20</v>
      </c>
      <c r="K8" s="16">
        <v>35</v>
      </c>
      <c r="L8" s="17">
        <f t="shared" si="0"/>
        <v>25</v>
      </c>
      <c r="M8" s="16">
        <v>30</v>
      </c>
      <c r="N8" s="16">
        <v>20</v>
      </c>
      <c r="O8" s="16">
        <v>0</v>
      </c>
      <c r="P8" s="16">
        <v>60</v>
      </c>
      <c r="Q8" s="16">
        <v>55</v>
      </c>
      <c r="R8" s="16">
        <v>15</v>
      </c>
      <c r="S8" s="16">
        <v>20</v>
      </c>
      <c r="T8" s="16">
        <v>5</v>
      </c>
      <c r="U8" s="16">
        <v>20</v>
      </c>
      <c r="V8" s="16">
        <v>10</v>
      </c>
      <c r="W8" s="17">
        <f t="shared" si="1"/>
        <v>23.5</v>
      </c>
      <c r="X8" s="16">
        <v>5</v>
      </c>
      <c r="Y8" s="16">
        <v>5</v>
      </c>
      <c r="Z8" s="16">
        <v>0</v>
      </c>
      <c r="AA8" s="16">
        <v>5</v>
      </c>
      <c r="AB8" s="16">
        <v>10</v>
      </c>
      <c r="AC8" s="16">
        <v>5</v>
      </c>
      <c r="AD8" s="16">
        <v>5</v>
      </c>
      <c r="AE8" s="16">
        <v>0</v>
      </c>
      <c r="AF8" s="16">
        <v>5</v>
      </c>
      <c r="AG8" s="16">
        <v>5</v>
      </c>
      <c r="AH8" s="17">
        <f t="shared" si="2"/>
        <v>4.5</v>
      </c>
      <c r="AI8" s="16">
        <v>15</v>
      </c>
      <c r="AJ8" s="16">
        <v>5</v>
      </c>
      <c r="AK8" s="16">
        <v>5</v>
      </c>
      <c r="AL8" s="16">
        <v>15</v>
      </c>
      <c r="AM8" s="16">
        <v>10</v>
      </c>
      <c r="AN8" s="16">
        <v>5</v>
      </c>
      <c r="AO8" s="16">
        <v>10</v>
      </c>
      <c r="AP8" s="16">
        <v>10</v>
      </c>
      <c r="AQ8" s="16">
        <v>5</v>
      </c>
      <c r="AR8" s="16">
        <v>5</v>
      </c>
      <c r="AS8" s="17">
        <f t="shared" si="3"/>
        <v>8.5</v>
      </c>
    </row>
    <row r="9" spans="1:45" s="3" customFormat="1" x14ac:dyDescent="0.2">
      <c r="B9" s="3">
        <f t="shared" ref="B9:K9" si="4">SUM(B2:B8)</f>
        <v>100</v>
      </c>
      <c r="C9" s="3">
        <f t="shared" si="4"/>
        <v>100</v>
      </c>
      <c r="D9" s="3">
        <f t="shared" si="4"/>
        <v>100</v>
      </c>
      <c r="E9" s="3">
        <f t="shared" si="4"/>
        <v>100</v>
      </c>
      <c r="F9" s="3">
        <f t="shared" si="4"/>
        <v>100</v>
      </c>
      <c r="G9" s="3">
        <f t="shared" si="4"/>
        <v>100</v>
      </c>
      <c r="H9" s="3">
        <f t="shared" si="4"/>
        <v>100</v>
      </c>
      <c r="I9" s="3">
        <f t="shared" si="4"/>
        <v>100</v>
      </c>
      <c r="J9" s="3">
        <f t="shared" si="4"/>
        <v>100</v>
      </c>
      <c r="K9" s="3">
        <f t="shared" si="4"/>
        <v>100</v>
      </c>
      <c r="L9" s="4">
        <f t="shared" si="0"/>
        <v>100</v>
      </c>
      <c r="M9" s="3">
        <f t="shared" ref="M9:AS9" si="5">SUM(M2:M8)</f>
        <v>100</v>
      </c>
      <c r="N9" s="3">
        <f t="shared" si="5"/>
        <v>100</v>
      </c>
      <c r="O9" s="3">
        <f t="shared" si="5"/>
        <v>100</v>
      </c>
      <c r="P9" s="3">
        <f t="shared" si="5"/>
        <v>100</v>
      </c>
      <c r="Q9" s="3">
        <f t="shared" si="5"/>
        <v>100</v>
      </c>
      <c r="R9" s="3">
        <f t="shared" si="5"/>
        <v>100</v>
      </c>
      <c r="S9" s="3">
        <f t="shared" si="5"/>
        <v>100</v>
      </c>
      <c r="T9" s="3">
        <f t="shared" si="5"/>
        <v>100</v>
      </c>
      <c r="U9" s="3">
        <f t="shared" si="5"/>
        <v>100</v>
      </c>
      <c r="V9" s="3">
        <f t="shared" si="5"/>
        <v>100</v>
      </c>
      <c r="W9" s="4">
        <f t="shared" si="5"/>
        <v>100</v>
      </c>
      <c r="X9" s="3">
        <f t="shared" si="5"/>
        <v>100</v>
      </c>
      <c r="Y9" s="3">
        <f t="shared" si="5"/>
        <v>100</v>
      </c>
      <c r="Z9" s="3">
        <f t="shared" si="5"/>
        <v>100</v>
      </c>
      <c r="AA9" s="3">
        <f t="shared" si="5"/>
        <v>100</v>
      </c>
      <c r="AB9" s="3">
        <f t="shared" si="5"/>
        <v>100</v>
      </c>
      <c r="AC9" s="3">
        <f t="shared" si="5"/>
        <v>100</v>
      </c>
      <c r="AD9" s="3">
        <f t="shared" si="5"/>
        <v>100</v>
      </c>
      <c r="AE9" s="3">
        <f t="shared" si="5"/>
        <v>100</v>
      </c>
      <c r="AF9" s="3">
        <f t="shared" si="5"/>
        <v>100</v>
      </c>
      <c r="AG9" s="3">
        <f t="shared" si="5"/>
        <v>100</v>
      </c>
      <c r="AH9" s="4">
        <f t="shared" si="5"/>
        <v>100</v>
      </c>
      <c r="AI9" s="3">
        <f t="shared" si="5"/>
        <v>100</v>
      </c>
      <c r="AJ9" s="3">
        <f t="shared" si="5"/>
        <v>100</v>
      </c>
      <c r="AK9" s="3">
        <f t="shared" si="5"/>
        <v>100</v>
      </c>
      <c r="AL9" s="3">
        <f t="shared" si="5"/>
        <v>100</v>
      </c>
      <c r="AM9" s="3">
        <f t="shared" si="5"/>
        <v>100</v>
      </c>
      <c r="AN9" s="3">
        <f t="shared" si="5"/>
        <v>100</v>
      </c>
      <c r="AO9" s="3">
        <f t="shared" si="5"/>
        <v>100</v>
      </c>
      <c r="AP9" s="3">
        <f t="shared" si="5"/>
        <v>100</v>
      </c>
      <c r="AQ9" s="3">
        <f t="shared" si="5"/>
        <v>100</v>
      </c>
      <c r="AR9" s="3">
        <f t="shared" si="5"/>
        <v>100</v>
      </c>
      <c r="AS9" s="4">
        <f t="shared" si="5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5"/>
  <sheetViews>
    <sheetView zoomScale="64" zoomScaleNormal="64" workbookViewId="0">
      <pane xSplit="1" topLeftCell="B1" activePane="topRight" state="frozen"/>
      <selection activeCell="H18" sqref="H18"/>
      <selection pane="topRight" activeCell="D14" sqref="D14"/>
    </sheetView>
  </sheetViews>
  <sheetFormatPr defaultRowHeight="12.75" x14ac:dyDescent="0.2"/>
  <cols>
    <col min="1" max="1" width="12.85546875" customWidth="1"/>
  </cols>
  <sheetData>
    <row r="1" spans="1:45" s="4" customFormat="1" x14ac:dyDescent="0.2">
      <c r="A1" s="4" t="s">
        <v>0</v>
      </c>
      <c r="B1" s="6" t="s">
        <v>325</v>
      </c>
      <c r="C1" s="6" t="s">
        <v>326</v>
      </c>
      <c r="D1" s="6" t="s">
        <v>327</v>
      </c>
      <c r="E1" s="6" t="s">
        <v>328</v>
      </c>
      <c r="F1" s="6" t="s">
        <v>329</v>
      </c>
      <c r="G1" s="6" t="s">
        <v>330</v>
      </c>
      <c r="H1" s="6" t="s">
        <v>331</v>
      </c>
      <c r="I1" s="6" t="s">
        <v>332</v>
      </c>
      <c r="J1" s="6" t="s">
        <v>333</v>
      </c>
      <c r="K1" s="6" t="s">
        <v>334</v>
      </c>
      <c r="L1" s="6"/>
      <c r="M1" s="6" t="s">
        <v>335</v>
      </c>
      <c r="N1" s="6" t="s">
        <v>336</v>
      </c>
      <c r="O1" s="6" t="s">
        <v>337</v>
      </c>
      <c r="P1" s="6" t="s">
        <v>338</v>
      </c>
      <c r="Q1" s="6" t="s">
        <v>339</v>
      </c>
      <c r="R1" s="6" t="s">
        <v>340</v>
      </c>
      <c r="S1" s="6" t="s">
        <v>341</v>
      </c>
      <c r="T1" s="6" t="s">
        <v>342</v>
      </c>
      <c r="U1" s="6" t="s">
        <v>343</v>
      </c>
      <c r="V1" s="6" t="s">
        <v>344</v>
      </c>
      <c r="W1" s="6"/>
      <c r="X1" s="6" t="s">
        <v>345</v>
      </c>
      <c r="Y1" s="6" t="s">
        <v>346</v>
      </c>
      <c r="Z1" s="6" t="s">
        <v>347</v>
      </c>
      <c r="AA1" s="6" t="s">
        <v>348</v>
      </c>
      <c r="AB1" s="6" t="s">
        <v>349</v>
      </c>
      <c r="AC1" s="6" t="s">
        <v>350</v>
      </c>
      <c r="AD1" s="6" t="s">
        <v>351</v>
      </c>
      <c r="AE1" s="6" t="s">
        <v>352</v>
      </c>
      <c r="AF1" s="6" t="s">
        <v>353</v>
      </c>
      <c r="AG1" s="6" t="s">
        <v>354</v>
      </c>
      <c r="AH1" s="6"/>
      <c r="AI1" s="6" t="s">
        <v>355</v>
      </c>
      <c r="AJ1" s="6" t="s">
        <v>356</v>
      </c>
      <c r="AK1" s="6" t="s">
        <v>357</v>
      </c>
      <c r="AL1" s="6" t="s">
        <v>358</v>
      </c>
      <c r="AM1" s="6" t="s">
        <v>359</v>
      </c>
      <c r="AN1" s="6" t="s">
        <v>360</v>
      </c>
      <c r="AO1" s="6" t="s">
        <v>361</v>
      </c>
      <c r="AP1" s="6" t="s">
        <v>362</v>
      </c>
      <c r="AQ1" s="6" t="s">
        <v>363</v>
      </c>
      <c r="AR1" s="6" t="s">
        <v>364</v>
      </c>
    </row>
    <row r="2" spans="1:45" s="3" customFormat="1" x14ac:dyDescent="0.2">
      <c r="A2" s="3" t="s">
        <v>1</v>
      </c>
      <c r="B2" s="3">
        <v>15</v>
      </c>
      <c r="C2" s="3">
        <v>10</v>
      </c>
      <c r="D2" s="3">
        <v>10</v>
      </c>
      <c r="E2" s="3">
        <v>10</v>
      </c>
      <c r="F2" s="3">
        <v>10</v>
      </c>
      <c r="G2" s="3">
        <v>5</v>
      </c>
      <c r="H2" s="3">
        <v>20</v>
      </c>
      <c r="I2" s="3">
        <v>5</v>
      </c>
      <c r="J2" s="3">
        <v>5</v>
      </c>
      <c r="K2" s="3">
        <v>10</v>
      </c>
      <c r="L2" s="4">
        <f t="shared" ref="L2:L8" si="0">AVERAGE(B2:K2)</f>
        <v>10</v>
      </c>
      <c r="M2" s="3">
        <v>10</v>
      </c>
      <c r="N2" s="3">
        <v>5</v>
      </c>
      <c r="O2" s="3">
        <v>10</v>
      </c>
      <c r="P2" s="3">
        <v>25</v>
      </c>
      <c r="Q2" s="3">
        <v>5</v>
      </c>
      <c r="R2" s="3">
        <v>15</v>
      </c>
      <c r="S2" s="3">
        <v>10</v>
      </c>
      <c r="T2" s="3">
        <v>15</v>
      </c>
      <c r="U2" s="3">
        <v>5</v>
      </c>
      <c r="V2" s="3">
        <v>15</v>
      </c>
      <c r="W2" s="4">
        <f t="shared" ref="W2:W8" si="1">AVERAGE(M2:V2)</f>
        <v>11.5</v>
      </c>
      <c r="X2" s="3">
        <v>5</v>
      </c>
      <c r="Y2" s="3">
        <v>60</v>
      </c>
      <c r="Z2" s="3">
        <v>25</v>
      </c>
      <c r="AA2" s="3">
        <v>35</v>
      </c>
      <c r="AB2" s="3">
        <v>15</v>
      </c>
      <c r="AC2" s="3">
        <v>15</v>
      </c>
      <c r="AD2" s="3">
        <v>20</v>
      </c>
      <c r="AE2" s="3">
        <v>20</v>
      </c>
      <c r="AF2" s="3">
        <v>15</v>
      </c>
      <c r="AG2" s="3">
        <v>15</v>
      </c>
      <c r="AH2" s="4">
        <f t="shared" ref="AH2:AH8" si="2">AVERAGE(X2:AG2)</f>
        <v>22.5</v>
      </c>
      <c r="AI2" s="3">
        <v>30</v>
      </c>
      <c r="AJ2" s="3">
        <v>10</v>
      </c>
      <c r="AK2" s="3">
        <v>10</v>
      </c>
      <c r="AL2" s="3">
        <v>5</v>
      </c>
      <c r="AM2" s="3">
        <v>15</v>
      </c>
      <c r="AN2" s="3">
        <v>10</v>
      </c>
      <c r="AO2" s="3">
        <v>10</v>
      </c>
      <c r="AP2" s="3">
        <v>10</v>
      </c>
      <c r="AQ2" s="3">
        <v>5</v>
      </c>
      <c r="AR2" s="3">
        <v>5</v>
      </c>
      <c r="AS2" s="4">
        <f t="shared" ref="AS2:AS8" si="3">AVERAGE(AI2:AR2)</f>
        <v>11</v>
      </c>
    </row>
    <row r="3" spans="1:45" s="3" customFormat="1" x14ac:dyDescent="0.2">
      <c r="A3" s="3" t="s">
        <v>2</v>
      </c>
      <c r="B3" s="3">
        <v>5</v>
      </c>
      <c r="C3" s="3">
        <v>5</v>
      </c>
      <c r="D3" s="3">
        <v>15</v>
      </c>
      <c r="E3" s="3">
        <v>5</v>
      </c>
      <c r="F3" s="3">
        <v>10</v>
      </c>
      <c r="G3" s="3">
        <v>5</v>
      </c>
      <c r="H3" s="3">
        <v>10</v>
      </c>
      <c r="I3" s="3">
        <v>10</v>
      </c>
      <c r="J3" s="3">
        <v>15</v>
      </c>
      <c r="K3" s="3">
        <v>5</v>
      </c>
      <c r="L3" s="4">
        <f t="shared" si="0"/>
        <v>8.5</v>
      </c>
      <c r="M3" s="3">
        <v>10</v>
      </c>
      <c r="N3" s="3">
        <v>15</v>
      </c>
      <c r="O3" s="3">
        <v>10</v>
      </c>
      <c r="P3" s="3">
        <v>10</v>
      </c>
      <c r="Q3" s="3">
        <v>10</v>
      </c>
      <c r="R3" s="3">
        <v>15</v>
      </c>
      <c r="S3" s="3">
        <v>20</v>
      </c>
      <c r="T3" s="3">
        <v>10</v>
      </c>
      <c r="U3" s="3">
        <v>15</v>
      </c>
      <c r="V3" s="3">
        <v>10</v>
      </c>
      <c r="W3" s="4">
        <f t="shared" si="1"/>
        <v>12.5</v>
      </c>
      <c r="X3" s="3">
        <v>10</v>
      </c>
      <c r="Y3" s="3">
        <v>5</v>
      </c>
      <c r="Z3" s="3">
        <v>5</v>
      </c>
      <c r="AA3" s="3">
        <v>5</v>
      </c>
      <c r="AB3" s="3">
        <v>10</v>
      </c>
      <c r="AC3" s="3">
        <v>5</v>
      </c>
      <c r="AD3" s="3">
        <v>10</v>
      </c>
      <c r="AE3" s="3">
        <v>10</v>
      </c>
      <c r="AF3" s="3">
        <v>10</v>
      </c>
      <c r="AG3" s="3">
        <v>15</v>
      </c>
      <c r="AH3" s="4">
        <f t="shared" si="2"/>
        <v>8.5</v>
      </c>
      <c r="AI3" s="3">
        <v>5</v>
      </c>
      <c r="AJ3" s="3">
        <v>10</v>
      </c>
      <c r="AK3" s="3">
        <v>10</v>
      </c>
      <c r="AL3" s="3">
        <v>10</v>
      </c>
      <c r="AM3" s="3">
        <v>5</v>
      </c>
      <c r="AN3" s="3">
        <v>10</v>
      </c>
      <c r="AO3" s="3">
        <v>5</v>
      </c>
      <c r="AP3" s="3">
        <v>10</v>
      </c>
      <c r="AQ3" s="3">
        <v>5</v>
      </c>
      <c r="AR3" s="3">
        <v>5</v>
      </c>
      <c r="AS3" s="4">
        <f t="shared" si="3"/>
        <v>7.5</v>
      </c>
    </row>
    <row r="4" spans="1:45" s="3" customFormat="1" x14ac:dyDescent="0.2">
      <c r="A4" s="3" t="s">
        <v>3</v>
      </c>
      <c r="B4" s="3">
        <v>5</v>
      </c>
      <c r="C4" s="3">
        <v>20</v>
      </c>
      <c r="D4" s="3">
        <v>15</v>
      </c>
      <c r="E4" s="3">
        <v>20</v>
      </c>
      <c r="F4" s="3">
        <v>20</v>
      </c>
      <c r="G4" s="3">
        <v>15</v>
      </c>
      <c r="H4" s="3">
        <v>10</v>
      </c>
      <c r="I4" s="3">
        <v>30</v>
      </c>
      <c r="J4" s="3">
        <v>15</v>
      </c>
      <c r="K4" s="3">
        <v>15</v>
      </c>
      <c r="L4" s="4">
        <f t="shared" si="0"/>
        <v>16.5</v>
      </c>
      <c r="M4" s="3">
        <v>45</v>
      </c>
      <c r="N4" s="3">
        <v>15</v>
      </c>
      <c r="O4" s="3">
        <v>20</v>
      </c>
      <c r="P4" s="3">
        <v>15</v>
      </c>
      <c r="Q4" s="3">
        <v>10</v>
      </c>
      <c r="R4" s="3">
        <v>15</v>
      </c>
      <c r="S4" s="3">
        <v>20</v>
      </c>
      <c r="T4" s="3">
        <v>10</v>
      </c>
      <c r="U4" s="3">
        <v>20</v>
      </c>
      <c r="V4" s="3">
        <v>15</v>
      </c>
      <c r="W4" s="4">
        <f t="shared" si="1"/>
        <v>18.5</v>
      </c>
      <c r="X4" s="3">
        <v>25</v>
      </c>
      <c r="Y4" s="3">
        <v>10</v>
      </c>
      <c r="Z4" s="3">
        <v>5</v>
      </c>
      <c r="AA4" s="3">
        <v>10</v>
      </c>
      <c r="AB4" s="3">
        <v>0</v>
      </c>
      <c r="AC4" s="3">
        <v>5</v>
      </c>
      <c r="AD4" s="3">
        <v>5</v>
      </c>
      <c r="AE4" s="3">
        <v>10</v>
      </c>
      <c r="AF4" s="3">
        <v>10</v>
      </c>
      <c r="AG4" s="3">
        <v>15</v>
      </c>
      <c r="AH4" s="4">
        <f t="shared" si="2"/>
        <v>9.5</v>
      </c>
      <c r="AI4" s="3">
        <v>20</v>
      </c>
      <c r="AJ4" s="3">
        <v>20</v>
      </c>
      <c r="AK4" s="3">
        <v>15</v>
      </c>
      <c r="AL4" s="3">
        <v>25</v>
      </c>
      <c r="AM4" s="3">
        <v>25</v>
      </c>
      <c r="AN4" s="3">
        <v>25</v>
      </c>
      <c r="AO4" s="3">
        <v>15</v>
      </c>
      <c r="AP4" s="3">
        <v>15</v>
      </c>
      <c r="AQ4" s="3">
        <v>20</v>
      </c>
      <c r="AR4" s="3">
        <v>20</v>
      </c>
      <c r="AS4" s="4">
        <f t="shared" si="3"/>
        <v>20</v>
      </c>
    </row>
    <row r="5" spans="1:45" s="3" customFormat="1" x14ac:dyDescent="0.2">
      <c r="A5" s="3" t="s">
        <v>686</v>
      </c>
      <c r="B5" s="3">
        <v>0</v>
      </c>
      <c r="C5" s="3">
        <v>0</v>
      </c>
      <c r="D5" s="3">
        <v>50</v>
      </c>
      <c r="E5" s="3">
        <v>35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8.5</v>
      </c>
      <c r="M5" s="3">
        <v>0</v>
      </c>
      <c r="N5" s="3">
        <v>10</v>
      </c>
      <c r="O5" s="3">
        <v>0</v>
      </c>
      <c r="P5" s="3">
        <v>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1.5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20</v>
      </c>
      <c r="AD5" s="3">
        <v>20</v>
      </c>
      <c r="AE5" s="3">
        <v>0</v>
      </c>
      <c r="AF5" s="3">
        <v>0</v>
      </c>
      <c r="AG5" s="3">
        <v>0</v>
      </c>
      <c r="AH5" s="4">
        <f t="shared" si="2"/>
        <v>4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15</v>
      </c>
      <c r="AP5" s="3">
        <v>0</v>
      </c>
      <c r="AQ5" s="3">
        <v>0</v>
      </c>
      <c r="AR5" s="3">
        <v>0</v>
      </c>
      <c r="AS5" s="4">
        <f t="shared" si="3"/>
        <v>1.5</v>
      </c>
    </row>
    <row r="6" spans="1:45" s="3" customFormat="1" x14ac:dyDescent="0.2">
      <c r="A6" s="3" t="s">
        <v>685</v>
      </c>
      <c r="B6" s="3">
        <v>25</v>
      </c>
      <c r="C6" s="3">
        <v>30</v>
      </c>
      <c r="D6" s="3">
        <v>5</v>
      </c>
      <c r="E6" s="3">
        <v>15</v>
      </c>
      <c r="F6" s="3">
        <v>30</v>
      </c>
      <c r="G6" s="3">
        <v>65</v>
      </c>
      <c r="H6" s="3">
        <v>5</v>
      </c>
      <c r="I6" s="3">
        <v>45</v>
      </c>
      <c r="J6" s="3">
        <v>55</v>
      </c>
      <c r="K6" s="3">
        <v>20</v>
      </c>
      <c r="L6" s="4">
        <f t="shared" si="0"/>
        <v>29.5</v>
      </c>
      <c r="M6" s="3">
        <v>10</v>
      </c>
      <c r="N6" s="3">
        <v>20</v>
      </c>
      <c r="O6" s="3">
        <v>40</v>
      </c>
      <c r="P6" s="3">
        <v>25</v>
      </c>
      <c r="Q6" s="3">
        <v>30</v>
      </c>
      <c r="R6" s="3">
        <v>30</v>
      </c>
      <c r="S6" s="3">
        <v>20</v>
      </c>
      <c r="T6" s="3">
        <v>20</v>
      </c>
      <c r="U6" s="3">
        <v>30</v>
      </c>
      <c r="V6" s="3">
        <v>25</v>
      </c>
      <c r="W6" s="4">
        <f t="shared" si="1"/>
        <v>25</v>
      </c>
      <c r="X6" s="3">
        <v>35</v>
      </c>
      <c r="Y6" s="3">
        <v>15</v>
      </c>
      <c r="Z6" s="3">
        <v>40</v>
      </c>
      <c r="AA6" s="3">
        <v>30</v>
      </c>
      <c r="AB6" s="3">
        <v>35</v>
      </c>
      <c r="AC6" s="3">
        <v>10</v>
      </c>
      <c r="AD6" s="3">
        <v>15</v>
      </c>
      <c r="AE6" s="3">
        <v>20</v>
      </c>
      <c r="AF6" s="3">
        <v>25</v>
      </c>
      <c r="AG6" s="3">
        <v>30</v>
      </c>
      <c r="AH6" s="4">
        <f t="shared" si="2"/>
        <v>25.5</v>
      </c>
      <c r="AI6" s="3">
        <v>20</v>
      </c>
      <c r="AJ6" s="3">
        <v>25</v>
      </c>
      <c r="AK6" s="3">
        <v>40</v>
      </c>
      <c r="AL6" s="3">
        <v>40</v>
      </c>
      <c r="AM6" s="3">
        <v>30</v>
      </c>
      <c r="AN6" s="3">
        <v>20</v>
      </c>
      <c r="AO6" s="3">
        <v>35</v>
      </c>
      <c r="AP6" s="3">
        <v>40</v>
      </c>
      <c r="AQ6" s="3">
        <v>45</v>
      </c>
      <c r="AR6" s="3">
        <v>15</v>
      </c>
      <c r="AS6" s="4">
        <f t="shared" si="3"/>
        <v>31</v>
      </c>
    </row>
    <row r="7" spans="1:45" s="3" customFormat="1" x14ac:dyDescent="0.2">
      <c r="A7" s="3" t="s">
        <v>688</v>
      </c>
      <c r="B7" s="3">
        <v>45</v>
      </c>
      <c r="C7" s="3">
        <v>20</v>
      </c>
      <c r="D7" s="3">
        <v>5</v>
      </c>
      <c r="E7" s="3">
        <v>15</v>
      </c>
      <c r="F7" s="3">
        <v>10</v>
      </c>
      <c r="G7" s="3">
        <v>10</v>
      </c>
      <c r="H7" s="3">
        <v>10</v>
      </c>
      <c r="I7" s="3">
        <v>5</v>
      </c>
      <c r="J7" s="3">
        <v>5</v>
      </c>
      <c r="K7" s="3">
        <v>20</v>
      </c>
      <c r="L7" s="4">
        <f t="shared" si="0"/>
        <v>14.5</v>
      </c>
      <c r="M7" s="3">
        <v>20</v>
      </c>
      <c r="N7" s="3">
        <v>5</v>
      </c>
      <c r="O7" s="3">
        <v>10</v>
      </c>
      <c r="P7" s="3">
        <v>10</v>
      </c>
      <c r="Q7" s="3">
        <v>10</v>
      </c>
      <c r="R7" s="3">
        <v>20</v>
      </c>
      <c r="S7" s="3">
        <v>30</v>
      </c>
      <c r="T7" s="3">
        <v>20</v>
      </c>
      <c r="U7" s="3">
        <v>10</v>
      </c>
      <c r="V7" s="3">
        <v>20</v>
      </c>
      <c r="W7" s="4">
        <f t="shared" si="1"/>
        <v>15.5</v>
      </c>
      <c r="X7" s="3">
        <v>15</v>
      </c>
      <c r="Y7" s="3">
        <v>5</v>
      </c>
      <c r="Z7" s="3">
        <v>20</v>
      </c>
      <c r="AA7" s="3">
        <v>15</v>
      </c>
      <c r="AB7" s="3">
        <v>30</v>
      </c>
      <c r="AC7" s="3">
        <v>35</v>
      </c>
      <c r="AD7" s="3">
        <v>20</v>
      </c>
      <c r="AE7" s="3">
        <v>20</v>
      </c>
      <c r="AF7" s="3">
        <v>20</v>
      </c>
      <c r="AG7" s="3">
        <v>15</v>
      </c>
      <c r="AH7" s="4">
        <f t="shared" si="2"/>
        <v>19.5</v>
      </c>
      <c r="AI7" s="3">
        <v>10</v>
      </c>
      <c r="AJ7" s="3">
        <v>10</v>
      </c>
      <c r="AK7" s="3">
        <v>10</v>
      </c>
      <c r="AL7" s="3">
        <v>10</v>
      </c>
      <c r="AM7" s="3">
        <v>20</v>
      </c>
      <c r="AN7" s="3">
        <v>15</v>
      </c>
      <c r="AO7" s="3">
        <v>10</v>
      </c>
      <c r="AP7" s="3">
        <v>15</v>
      </c>
      <c r="AQ7" s="3">
        <v>15</v>
      </c>
      <c r="AR7" s="3">
        <v>15</v>
      </c>
      <c r="AS7" s="4">
        <f t="shared" si="3"/>
        <v>13</v>
      </c>
    </row>
    <row r="8" spans="1:45" s="3" customFormat="1" x14ac:dyDescent="0.2">
      <c r="A8" s="16" t="s">
        <v>690</v>
      </c>
      <c r="B8" s="16">
        <v>5</v>
      </c>
      <c r="C8" s="16">
        <v>15</v>
      </c>
      <c r="D8" s="16">
        <v>0</v>
      </c>
      <c r="E8" s="16">
        <v>0</v>
      </c>
      <c r="F8" s="16">
        <v>20</v>
      </c>
      <c r="G8" s="16">
        <v>0</v>
      </c>
      <c r="H8" s="16">
        <v>45</v>
      </c>
      <c r="I8" s="16">
        <v>5</v>
      </c>
      <c r="J8" s="16">
        <v>5</v>
      </c>
      <c r="K8" s="16">
        <v>30</v>
      </c>
      <c r="L8" s="17">
        <f t="shared" si="0"/>
        <v>12.5</v>
      </c>
      <c r="M8" s="16">
        <v>5</v>
      </c>
      <c r="N8" s="16">
        <v>30</v>
      </c>
      <c r="O8" s="16">
        <v>10</v>
      </c>
      <c r="P8" s="16">
        <v>10</v>
      </c>
      <c r="Q8" s="16">
        <v>35</v>
      </c>
      <c r="R8" s="16">
        <v>5</v>
      </c>
      <c r="S8" s="16">
        <v>0</v>
      </c>
      <c r="T8" s="16">
        <v>25</v>
      </c>
      <c r="U8" s="16">
        <v>20</v>
      </c>
      <c r="V8" s="16">
        <v>15</v>
      </c>
      <c r="W8" s="17">
        <f t="shared" si="1"/>
        <v>15.5</v>
      </c>
      <c r="X8" s="16">
        <v>10</v>
      </c>
      <c r="Y8" s="16">
        <v>5</v>
      </c>
      <c r="Z8" s="16">
        <v>5</v>
      </c>
      <c r="AA8" s="16">
        <v>5</v>
      </c>
      <c r="AB8" s="16">
        <v>10</v>
      </c>
      <c r="AC8" s="16">
        <v>10</v>
      </c>
      <c r="AD8" s="16">
        <v>10</v>
      </c>
      <c r="AE8" s="16">
        <v>20</v>
      </c>
      <c r="AF8" s="16">
        <v>20</v>
      </c>
      <c r="AG8" s="16">
        <v>10</v>
      </c>
      <c r="AH8" s="17">
        <f t="shared" si="2"/>
        <v>10.5</v>
      </c>
      <c r="AI8" s="16">
        <v>15</v>
      </c>
      <c r="AJ8" s="16">
        <v>25</v>
      </c>
      <c r="AK8" s="16">
        <v>15</v>
      </c>
      <c r="AL8" s="16">
        <v>10</v>
      </c>
      <c r="AM8" s="16">
        <v>5</v>
      </c>
      <c r="AN8" s="16">
        <v>20</v>
      </c>
      <c r="AO8" s="16">
        <v>10</v>
      </c>
      <c r="AP8" s="16">
        <v>10</v>
      </c>
      <c r="AQ8" s="16">
        <v>10</v>
      </c>
      <c r="AR8" s="16">
        <v>40</v>
      </c>
      <c r="AS8" s="17">
        <f t="shared" si="3"/>
        <v>16</v>
      </c>
    </row>
    <row r="9" spans="1:45" s="3" customFormat="1" x14ac:dyDescent="0.2">
      <c r="B9" s="3">
        <f t="shared" ref="B9:AS9" si="4">SUM(B2:B8)</f>
        <v>100</v>
      </c>
      <c r="C9" s="3">
        <f t="shared" si="4"/>
        <v>100</v>
      </c>
      <c r="D9" s="3">
        <f t="shared" si="4"/>
        <v>100</v>
      </c>
      <c r="E9" s="3">
        <f t="shared" si="4"/>
        <v>100</v>
      </c>
      <c r="F9" s="3">
        <f t="shared" si="4"/>
        <v>100</v>
      </c>
      <c r="G9" s="3">
        <f t="shared" si="4"/>
        <v>100</v>
      </c>
      <c r="H9" s="3">
        <f t="shared" si="4"/>
        <v>100</v>
      </c>
      <c r="I9" s="3">
        <f t="shared" si="4"/>
        <v>100</v>
      </c>
      <c r="J9" s="3">
        <f t="shared" si="4"/>
        <v>100</v>
      </c>
      <c r="K9" s="3">
        <f t="shared" si="4"/>
        <v>100</v>
      </c>
      <c r="L9" s="4">
        <f t="shared" si="4"/>
        <v>100</v>
      </c>
      <c r="M9" s="3">
        <f t="shared" si="4"/>
        <v>100</v>
      </c>
      <c r="N9" s="3">
        <f t="shared" si="4"/>
        <v>100</v>
      </c>
      <c r="O9" s="3">
        <f t="shared" si="4"/>
        <v>100</v>
      </c>
      <c r="P9" s="3">
        <f t="shared" si="4"/>
        <v>100</v>
      </c>
      <c r="Q9" s="3">
        <f t="shared" si="4"/>
        <v>100</v>
      </c>
      <c r="R9" s="3">
        <f t="shared" si="4"/>
        <v>100</v>
      </c>
      <c r="S9" s="3">
        <f t="shared" si="4"/>
        <v>100</v>
      </c>
      <c r="T9" s="3">
        <f t="shared" si="4"/>
        <v>100</v>
      </c>
      <c r="U9" s="3">
        <f t="shared" si="4"/>
        <v>100</v>
      </c>
      <c r="V9" s="3">
        <f t="shared" si="4"/>
        <v>100</v>
      </c>
      <c r="W9" s="4">
        <f t="shared" si="4"/>
        <v>100</v>
      </c>
      <c r="X9" s="3">
        <f t="shared" si="4"/>
        <v>100</v>
      </c>
      <c r="Y9" s="3">
        <f t="shared" si="4"/>
        <v>100</v>
      </c>
      <c r="Z9" s="3">
        <f t="shared" si="4"/>
        <v>100</v>
      </c>
      <c r="AA9" s="3">
        <f t="shared" si="4"/>
        <v>100</v>
      </c>
      <c r="AB9" s="3">
        <f t="shared" si="4"/>
        <v>100</v>
      </c>
      <c r="AC9" s="3">
        <f t="shared" si="4"/>
        <v>100</v>
      </c>
      <c r="AD9" s="3">
        <f t="shared" si="4"/>
        <v>100</v>
      </c>
      <c r="AE9" s="3">
        <f t="shared" si="4"/>
        <v>100</v>
      </c>
      <c r="AF9" s="3">
        <f t="shared" si="4"/>
        <v>100</v>
      </c>
      <c r="AG9" s="3">
        <f t="shared" si="4"/>
        <v>100</v>
      </c>
      <c r="AH9" s="4">
        <f t="shared" si="4"/>
        <v>100</v>
      </c>
      <c r="AI9" s="3">
        <f t="shared" si="4"/>
        <v>100</v>
      </c>
      <c r="AJ9" s="3">
        <f t="shared" si="4"/>
        <v>100</v>
      </c>
      <c r="AK9" s="3">
        <f t="shared" si="4"/>
        <v>100</v>
      </c>
      <c r="AL9" s="3">
        <f t="shared" si="4"/>
        <v>100</v>
      </c>
      <c r="AM9" s="3">
        <f t="shared" si="4"/>
        <v>100</v>
      </c>
      <c r="AN9" s="3">
        <f t="shared" si="4"/>
        <v>100</v>
      </c>
      <c r="AO9" s="3">
        <f t="shared" si="4"/>
        <v>100</v>
      </c>
      <c r="AP9" s="3">
        <f t="shared" si="4"/>
        <v>100</v>
      </c>
      <c r="AQ9" s="3">
        <f t="shared" si="4"/>
        <v>100</v>
      </c>
      <c r="AR9" s="3">
        <f t="shared" si="4"/>
        <v>100</v>
      </c>
      <c r="AS9" s="4">
        <f t="shared" si="4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6"/>
  <sheetViews>
    <sheetView zoomScale="64" zoomScaleNormal="64" workbookViewId="0">
      <pane xSplit="1" topLeftCell="B1" activePane="topRight" state="frozen"/>
      <selection activeCell="H18" sqref="H18"/>
      <selection pane="topRight" activeCell="C18" sqref="C18"/>
    </sheetView>
  </sheetViews>
  <sheetFormatPr defaultRowHeight="12.75" x14ac:dyDescent="0.2"/>
  <cols>
    <col min="1" max="1" width="12.28515625" customWidth="1"/>
  </cols>
  <sheetData>
    <row r="1" spans="1:45" s="4" customFormat="1" x14ac:dyDescent="0.2">
      <c r="A1" s="4" t="s">
        <v>0</v>
      </c>
      <c r="B1" s="6" t="s">
        <v>365</v>
      </c>
      <c r="C1" s="6" t="s">
        <v>366</v>
      </c>
      <c r="D1" s="6" t="s">
        <v>367</v>
      </c>
      <c r="E1" s="6" t="s">
        <v>368</v>
      </c>
      <c r="F1" s="6" t="s">
        <v>369</v>
      </c>
      <c r="G1" s="6" t="s">
        <v>370</v>
      </c>
      <c r="H1" s="6" t="s">
        <v>371</v>
      </c>
      <c r="I1" s="6" t="s">
        <v>372</v>
      </c>
      <c r="J1" s="6" t="s">
        <v>373</v>
      </c>
      <c r="K1" s="6" t="s">
        <v>374</v>
      </c>
      <c r="L1" s="6"/>
      <c r="M1" s="6" t="s">
        <v>375</v>
      </c>
      <c r="N1" s="6" t="s">
        <v>376</v>
      </c>
      <c r="O1" s="6" t="s">
        <v>377</v>
      </c>
      <c r="P1" s="6" t="s">
        <v>378</v>
      </c>
      <c r="Q1" s="6" t="s">
        <v>379</v>
      </c>
      <c r="R1" s="6" t="s">
        <v>380</v>
      </c>
      <c r="S1" s="6" t="s">
        <v>381</v>
      </c>
      <c r="T1" s="6" t="s">
        <v>382</v>
      </c>
      <c r="U1" s="6" t="s">
        <v>383</v>
      </c>
      <c r="V1" s="6" t="s">
        <v>384</v>
      </c>
      <c r="W1" s="6"/>
      <c r="X1" s="6" t="s">
        <v>385</v>
      </c>
      <c r="Y1" s="6" t="s">
        <v>386</v>
      </c>
      <c r="Z1" s="6" t="s">
        <v>387</v>
      </c>
      <c r="AA1" s="6" t="s">
        <v>388</v>
      </c>
      <c r="AB1" s="6" t="s">
        <v>389</v>
      </c>
      <c r="AC1" s="6" t="s">
        <v>390</v>
      </c>
      <c r="AD1" s="6" t="s">
        <v>391</v>
      </c>
      <c r="AE1" s="6" t="s">
        <v>392</v>
      </c>
      <c r="AF1" s="6" t="s">
        <v>393</v>
      </c>
      <c r="AG1" s="6" t="s">
        <v>394</v>
      </c>
      <c r="AH1" s="6"/>
      <c r="AI1" s="6" t="s">
        <v>395</v>
      </c>
      <c r="AJ1" s="6" t="s">
        <v>396</v>
      </c>
      <c r="AK1" s="6" t="s">
        <v>397</v>
      </c>
      <c r="AL1" s="6" t="s">
        <v>398</v>
      </c>
      <c r="AM1" s="6" t="s">
        <v>399</v>
      </c>
      <c r="AN1" s="6" t="s">
        <v>400</v>
      </c>
      <c r="AO1" s="6" t="s">
        <v>401</v>
      </c>
      <c r="AP1" s="6" t="s">
        <v>402</v>
      </c>
      <c r="AQ1" s="6" t="s">
        <v>403</v>
      </c>
      <c r="AR1" s="6" t="s">
        <v>404</v>
      </c>
    </row>
    <row r="2" spans="1:45" s="3" customFormat="1" x14ac:dyDescent="0.2">
      <c r="A2" s="3" t="s">
        <v>1</v>
      </c>
      <c r="B2" s="3">
        <v>30</v>
      </c>
      <c r="C2" s="3">
        <v>10</v>
      </c>
      <c r="D2" s="3">
        <v>5</v>
      </c>
      <c r="E2" s="3">
        <v>5</v>
      </c>
      <c r="F2" s="3">
        <v>5</v>
      </c>
      <c r="G2" s="3">
        <v>10</v>
      </c>
      <c r="H2" s="3">
        <v>25</v>
      </c>
      <c r="I2" s="3">
        <v>5</v>
      </c>
      <c r="J2" s="3">
        <v>5</v>
      </c>
      <c r="K2" s="3">
        <v>15</v>
      </c>
      <c r="L2" s="4">
        <f t="shared" ref="L2:L8" si="0">AVERAGE(B2:K2)</f>
        <v>11.5</v>
      </c>
      <c r="M2" s="3">
        <v>5</v>
      </c>
      <c r="N2" s="3">
        <v>5</v>
      </c>
      <c r="O2" s="3">
        <v>5</v>
      </c>
      <c r="P2" s="3">
        <v>5</v>
      </c>
      <c r="Q2" s="3">
        <v>5</v>
      </c>
      <c r="R2" s="3">
        <v>5</v>
      </c>
      <c r="S2" s="3">
        <v>15</v>
      </c>
      <c r="T2" s="3">
        <v>5</v>
      </c>
      <c r="U2" s="3">
        <v>10</v>
      </c>
      <c r="V2" s="3">
        <v>20</v>
      </c>
      <c r="W2" s="4">
        <f t="shared" ref="W2:W8" si="1">AVERAGE(M2:V2)</f>
        <v>8</v>
      </c>
      <c r="X2" s="3">
        <v>10</v>
      </c>
      <c r="Y2" s="3">
        <v>5</v>
      </c>
      <c r="Z2" s="3">
        <v>5</v>
      </c>
      <c r="AA2" s="3">
        <v>5</v>
      </c>
      <c r="AB2" s="3">
        <v>15</v>
      </c>
      <c r="AC2" s="3">
        <v>5</v>
      </c>
      <c r="AD2" s="3">
        <v>5</v>
      </c>
      <c r="AE2" s="3">
        <v>15</v>
      </c>
      <c r="AF2" s="3">
        <v>25</v>
      </c>
      <c r="AG2" s="3">
        <v>5</v>
      </c>
      <c r="AH2" s="4">
        <f t="shared" ref="AH2:AH8" si="2">AVERAGE(X2:AG2)</f>
        <v>9.5</v>
      </c>
      <c r="AI2" s="3">
        <v>5</v>
      </c>
      <c r="AJ2" s="3">
        <v>10</v>
      </c>
      <c r="AK2" s="3">
        <v>10</v>
      </c>
      <c r="AL2" s="3">
        <v>5</v>
      </c>
      <c r="AM2" s="3">
        <v>15</v>
      </c>
      <c r="AN2" s="3">
        <v>5</v>
      </c>
      <c r="AO2" s="3">
        <v>10</v>
      </c>
      <c r="AP2" s="3">
        <v>20</v>
      </c>
      <c r="AQ2" s="3">
        <v>5</v>
      </c>
      <c r="AR2" s="3">
        <v>5</v>
      </c>
      <c r="AS2" s="4">
        <f t="shared" ref="AS2:AS8" si="3">AVERAGE(AI2:AR2)</f>
        <v>9</v>
      </c>
    </row>
    <row r="3" spans="1:45" s="3" customFormat="1" x14ac:dyDescent="0.2">
      <c r="A3" s="3" t="s">
        <v>2</v>
      </c>
      <c r="B3" s="3">
        <v>15</v>
      </c>
      <c r="C3" s="3">
        <v>5</v>
      </c>
      <c r="D3" s="3">
        <v>20</v>
      </c>
      <c r="E3" s="3">
        <v>50</v>
      </c>
      <c r="F3" s="3">
        <v>5</v>
      </c>
      <c r="G3" s="3">
        <v>5</v>
      </c>
      <c r="H3" s="3">
        <v>5</v>
      </c>
      <c r="I3" s="3">
        <v>25</v>
      </c>
      <c r="J3" s="3">
        <v>0</v>
      </c>
      <c r="K3" s="3">
        <v>25</v>
      </c>
      <c r="L3" s="4">
        <f t="shared" si="0"/>
        <v>15.5</v>
      </c>
      <c r="M3" s="3">
        <v>5</v>
      </c>
      <c r="N3" s="3">
        <v>5</v>
      </c>
      <c r="O3" s="3">
        <v>10</v>
      </c>
      <c r="P3" s="3">
        <v>5</v>
      </c>
      <c r="Q3" s="3">
        <v>5</v>
      </c>
      <c r="R3" s="3">
        <v>10</v>
      </c>
      <c r="S3" s="3">
        <v>5</v>
      </c>
      <c r="T3" s="3">
        <v>5</v>
      </c>
      <c r="U3" s="3">
        <v>5</v>
      </c>
      <c r="V3" s="3">
        <v>5</v>
      </c>
      <c r="W3" s="4">
        <f t="shared" si="1"/>
        <v>6</v>
      </c>
      <c r="X3" s="3">
        <v>5</v>
      </c>
      <c r="Y3" s="3">
        <v>10</v>
      </c>
      <c r="Z3" s="3">
        <v>0</v>
      </c>
      <c r="AA3" s="3">
        <v>5</v>
      </c>
      <c r="AB3" s="3">
        <v>5</v>
      </c>
      <c r="AC3" s="3">
        <v>10</v>
      </c>
      <c r="AD3" s="3">
        <v>10</v>
      </c>
      <c r="AE3" s="3">
        <v>5</v>
      </c>
      <c r="AF3" s="3">
        <v>5</v>
      </c>
      <c r="AG3" s="3">
        <v>15</v>
      </c>
      <c r="AH3" s="4">
        <f t="shared" si="2"/>
        <v>7</v>
      </c>
      <c r="AI3" s="3">
        <v>5</v>
      </c>
      <c r="AJ3" s="3">
        <v>5</v>
      </c>
      <c r="AK3" s="3">
        <v>15</v>
      </c>
      <c r="AL3" s="3">
        <v>10</v>
      </c>
      <c r="AM3" s="3">
        <v>5</v>
      </c>
      <c r="AN3" s="3">
        <v>5</v>
      </c>
      <c r="AO3" s="3">
        <v>5</v>
      </c>
      <c r="AP3" s="3">
        <v>15</v>
      </c>
      <c r="AQ3" s="3">
        <v>5</v>
      </c>
      <c r="AR3" s="3">
        <v>10</v>
      </c>
      <c r="AS3" s="4">
        <f t="shared" si="3"/>
        <v>8</v>
      </c>
    </row>
    <row r="4" spans="1:45" s="3" customFormat="1" x14ac:dyDescent="0.2">
      <c r="A4" s="3" t="s">
        <v>3</v>
      </c>
      <c r="B4" s="3">
        <v>35</v>
      </c>
      <c r="C4" s="3">
        <v>50</v>
      </c>
      <c r="D4" s="3">
        <v>45</v>
      </c>
      <c r="E4" s="3">
        <v>25</v>
      </c>
      <c r="F4" s="3">
        <v>20</v>
      </c>
      <c r="G4" s="3">
        <v>40</v>
      </c>
      <c r="H4" s="3">
        <v>30</v>
      </c>
      <c r="I4" s="3">
        <v>40</v>
      </c>
      <c r="J4" s="3">
        <v>25</v>
      </c>
      <c r="K4" s="3">
        <v>30</v>
      </c>
      <c r="L4" s="4">
        <f t="shared" si="0"/>
        <v>34</v>
      </c>
      <c r="M4" s="3">
        <v>65</v>
      </c>
      <c r="N4" s="3">
        <v>65</v>
      </c>
      <c r="O4" s="3">
        <v>50</v>
      </c>
      <c r="P4" s="3">
        <v>70</v>
      </c>
      <c r="Q4" s="3">
        <v>45</v>
      </c>
      <c r="R4" s="3">
        <v>40</v>
      </c>
      <c r="S4" s="3">
        <v>55</v>
      </c>
      <c r="T4" s="3">
        <v>75</v>
      </c>
      <c r="U4" s="3">
        <v>35</v>
      </c>
      <c r="V4" s="3">
        <v>45</v>
      </c>
      <c r="W4" s="4">
        <f t="shared" si="1"/>
        <v>54.5</v>
      </c>
      <c r="X4" s="3">
        <v>50</v>
      </c>
      <c r="Y4" s="3">
        <v>40</v>
      </c>
      <c r="Z4" s="3">
        <v>20</v>
      </c>
      <c r="AA4" s="3">
        <v>15</v>
      </c>
      <c r="AB4" s="3">
        <v>10</v>
      </c>
      <c r="AC4" s="3">
        <v>25</v>
      </c>
      <c r="AD4" s="3">
        <v>15</v>
      </c>
      <c r="AE4" s="3">
        <v>25</v>
      </c>
      <c r="AF4" s="3">
        <v>40</v>
      </c>
      <c r="AG4" s="3">
        <v>20</v>
      </c>
      <c r="AH4" s="4">
        <f t="shared" si="2"/>
        <v>26</v>
      </c>
      <c r="AI4" s="3">
        <v>50</v>
      </c>
      <c r="AJ4" s="3">
        <v>25</v>
      </c>
      <c r="AK4" s="3">
        <v>50</v>
      </c>
      <c r="AL4" s="3">
        <v>50</v>
      </c>
      <c r="AM4" s="3">
        <v>60</v>
      </c>
      <c r="AN4" s="3">
        <v>50</v>
      </c>
      <c r="AO4" s="3">
        <v>25</v>
      </c>
      <c r="AP4" s="3">
        <v>45</v>
      </c>
      <c r="AQ4" s="3">
        <v>55</v>
      </c>
      <c r="AR4" s="3">
        <v>35</v>
      </c>
      <c r="AS4" s="4">
        <f t="shared" si="3"/>
        <v>44.5</v>
      </c>
    </row>
    <row r="5" spans="1:45" s="3" customFormat="1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15</v>
      </c>
      <c r="J5" s="3">
        <v>0</v>
      </c>
      <c r="K5" s="3">
        <v>0</v>
      </c>
      <c r="L5" s="4">
        <f t="shared" si="0"/>
        <v>1.5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5</v>
      </c>
      <c r="W5" s="4">
        <f t="shared" si="1"/>
        <v>0.5</v>
      </c>
      <c r="X5" s="3">
        <v>5</v>
      </c>
      <c r="Y5" s="3">
        <v>0</v>
      </c>
      <c r="Z5" s="3">
        <v>20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5</v>
      </c>
      <c r="AH5" s="4">
        <f t="shared" si="2"/>
        <v>3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s="3" customFormat="1" x14ac:dyDescent="0.2">
      <c r="A6" s="3" t="s">
        <v>685</v>
      </c>
      <c r="B6" s="3">
        <v>10</v>
      </c>
      <c r="C6" s="3">
        <v>25</v>
      </c>
      <c r="D6" s="3">
        <v>25</v>
      </c>
      <c r="E6" s="3">
        <v>10</v>
      </c>
      <c r="F6" s="3">
        <v>45</v>
      </c>
      <c r="G6" s="3">
        <v>15</v>
      </c>
      <c r="H6" s="3">
        <v>20</v>
      </c>
      <c r="I6" s="3">
        <v>5</v>
      </c>
      <c r="J6" s="3">
        <v>55</v>
      </c>
      <c r="K6" s="3">
        <v>15</v>
      </c>
      <c r="L6" s="4">
        <f t="shared" si="0"/>
        <v>22.5</v>
      </c>
      <c r="M6" s="3">
        <v>5</v>
      </c>
      <c r="N6" s="3">
        <v>15</v>
      </c>
      <c r="O6" s="3">
        <v>20</v>
      </c>
      <c r="P6" s="3">
        <v>10</v>
      </c>
      <c r="Q6" s="3">
        <v>15</v>
      </c>
      <c r="R6" s="3">
        <v>15</v>
      </c>
      <c r="S6" s="3">
        <v>10</v>
      </c>
      <c r="T6" s="3">
        <v>5</v>
      </c>
      <c r="U6" s="3">
        <v>40</v>
      </c>
      <c r="V6" s="3">
        <v>15</v>
      </c>
      <c r="W6" s="4">
        <f t="shared" si="1"/>
        <v>15</v>
      </c>
      <c r="X6" s="3">
        <v>15</v>
      </c>
      <c r="Y6" s="3">
        <v>25</v>
      </c>
      <c r="Z6" s="3">
        <v>35</v>
      </c>
      <c r="AA6" s="3">
        <v>40</v>
      </c>
      <c r="AB6" s="3">
        <v>45</v>
      </c>
      <c r="AC6" s="3">
        <v>40</v>
      </c>
      <c r="AD6" s="3">
        <v>40</v>
      </c>
      <c r="AE6" s="3">
        <v>40</v>
      </c>
      <c r="AF6" s="3">
        <v>5</v>
      </c>
      <c r="AG6" s="3">
        <v>40</v>
      </c>
      <c r="AH6" s="4">
        <f t="shared" si="2"/>
        <v>32.5</v>
      </c>
      <c r="AI6" s="3">
        <v>25</v>
      </c>
      <c r="AJ6" s="3">
        <v>30</v>
      </c>
      <c r="AK6" s="3">
        <v>5</v>
      </c>
      <c r="AL6" s="3">
        <v>25</v>
      </c>
      <c r="AM6" s="3">
        <v>10</v>
      </c>
      <c r="AN6" s="3">
        <v>0</v>
      </c>
      <c r="AO6" s="3">
        <v>35</v>
      </c>
      <c r="AP6" s="3">
        <v>10</v>
      </c>
      <c r="AQ6" s="3">
        <v>25</v>
      </c>
      <c r="AR6" s="3">
        <v>30</v>
      </c>
      <c r="AS6" s="4">
        <f t="shared" si="3"/>
        <v>19.5</v>
      </c>
    </row>
    <row r="7" spans="1:45" s="3" customFormat="1" x14ac:dyDescent="0.2">
      <c r="A7" s="3" t="s">
        <v>689</v>
      </c>
      <c r="B7" s="3">
        <v>10</v>
      </c>
      <c r="C7" s="3">
        <v>5</v>
      </c>
      <c r="D7" s="3">
        <v>5</v>
      </c>
      <c r="E7" s="3">
        <v>5</v>
      </c>
      <c r="F7" s="3">
        <v>10</v>
      </c>
      <c r="G7" s="3">
        <v>25</v>
      </c>
      <c r="H7" s="3">
        <v>5</v>
      </c>
      <c r="I7" s="3">
        <v>5</v>
      </c>
      <c r="J7" s="3">
        <v>10</v>
      </c>
      <c r="K7" s="3">
        <v>15</v>
      </c>
      <c r="L7" s="4">
        <f t="shared" si="0"/>
        <v>9.5</v>
      </c>
      <c r="M7" s="3">
        <v>5</v>
      </c>
      <c r="N7" s="3">
        <v>5</v>
      </c>
      <c r="O7" s="3">
        <v>10</v>
      </c>
      <c r="P7" s="3">
        <v>5</v>
      </c>
      <c r="Q7" s="3">
        <v>25</v>
      </c>
      <c r="R7" s="3">
        <v>25</v>
      </c>
      <c r="S7" s="3">
        <v>10</v>
      </c>
      <c r="T7" s="3">
        <v>5</v>
      </c>
      <c r="U7" s="3">
        <v>5</v>
      </c>
      <c r="V7" s="3">
        <v>5</v>
      </c>
      <c r="W7" s="4">
        <f t="shared" si="1"/>
        <v>10</v>
      </c>
      <c r="X7" s="3">
        <v>5</v>
      </c>
      <c r="Y7" s="3">
        <v>10</v>
      </c>
      <c r="Z7" s="3">
        <v>5</v>
      </c>
      <c r="AA7" s="3">
        <v>25</v>
      </c>
      <c r="AB7" s="3">
        <v>10</v>
      </c>
      <c r="AC7" s="3">
        <v>15</v>
      </c>
      <c r="AD7" s="3">
        <v>25</v>
      </c>
      <c r="AE7" s="3">
        <v>5</v>
      </c>
      <c r="AF7" s="3">
        <v>15</v>
      </c>
      <c r="AG7" s="3">
        <v>5</v>
      </c>
      <c r="AH7" s="4">
        <f t="shared" si="2"/>
        <v>12</v>
      </c>
      <c r="AI7" s="3">
        <v>5</v>
      </c>
      <c r="AJ7" s="3">
        <v>25</v>
      </c>
      <c r="AK7" s="3">
        <v>10</v>
      </c>
      <c r="AL7" s="3">
        <v>5</v>
      </c>
      <c r="AM7" s="3">
        <v>5</v>
      </c>
      <c r="AN7" s="3">
        <v>15</v>
      </c>
      <c r="AO7" s="3">
        <v>10</v>
      </c>
      <c r="AP7" s="3">
        <v>5</v>
      </c>
      <c r="AQ7" s="3">
        <v>5</v>
      </c>
      <c r="AR7" s="3">
        <v>15</v>
      </c>
      <c r="AS7" s="4">
        <f t="shared" si="3"/>
        <v>10</v>
      </c>
    </row>
    <row r="8" spans="1:45" s="3" customFormat="1" x14ac:dyDescent="0.2">
      <c r="A8" s="16" t="s">
        <v>690</v>
      </c>
      <c r="B8" s="16">
        <v>0</v>
      </c>
      <c r="C8" s="16">
        <v>5</v>
      </c>
      <c r="D8" s="16">
        <v>0</v>
      </c>
      <c r="E8" s="16">
        <v>5</v>
      </c>
      <c r="F8" s="16">
        <v>15</v>
      </c>
      <c r="G8" s="16">
        <v>5</v>
      </c>
      <c r="H8" s="16">
        <v>15</v>
      </c>
      <c r="I8" s="16">
        <v>5</v>
      </c>
      <c r="J8" s="16">
        <v>5</v>
      </c>
      <c r="K8" s="16">
        <v>0</v>
      </c>
      <c r="L8" s="17">
        <f t="shared" si="0"/>
        <v>5.5</v>
      </c>
      <c r="M8" s="16">
        <v>15</v>
      </c>
      <c r="N8" s="16">
        <v>5</v>
      </c>
      <c r="O8" s="16">
        <v>5</v>
      </c>
      <c r="P8" s="16">
        <v>5</v>
      </c>
      <c r="Q8" s="16">
        <v>5</v>
      </c>
      <c r="R8" s="16">
        <v>5</v>
      </c>
      <c r="S8" s="16">
        <v>5</v>
      </c>
      <c r="T8" s="16">
        <v>5</v>
      </c>
      <c r="U8" s="16">
        <v>5</v>
      </c>
      <c r="V8" s="16">
        <v>5</v>
      </c>
      <c r="W8" s="17">
        <f t="shared" si="1"/>
        <v>6</v>
      </c>
      <c r="X8" s="16">
        <v>10</v>
      </c>
      <c r="Y8" s="16">
        <v>10</v>
      </c>
      <c r="Z8" s="16">
        <v>15</v>
      </c>
      <c r="AA8" s="16">
        <v>10</v>
      </c>
      <c r="AB8" s="16">
        <v>15</v>
      </c>
      <c r="AC8" s="16">
        <v>5</v>
      </c>
      <c r="AD8" s="16">
        <v>5</v>
      </c>
      <c r="AE8" s="16">
        <v>10</v>
      </c>
      <c r="AF8" s="16">
        <v>10</v>
      </c>
      <c r="AG8" s="16">
        <v>10</v>
      </c>
      <c r="AH8" s="17">
        <f t="shared" si="2"/>
        <v>10</v>
      </c>
      <c r="AI8" s="16">
        <v>10</v>
      </c>
      <c r="AJ8" s="16">
        <v>5</v>
      </c>
      <c r="AK8" s="16">
        <v>10</v>
      </c>
      <c r="AL8" s="16">
        <v>5</v>
      </c>
      <c r="AM8" s="16">
        <v>5</v>
      </c>
      <c r="AN8" s="16">
        <v>25</v>
      </c>
      <c r="AO8" s="16">
        <v>15</v>
      </c>
      <c r="AP8" s="16">
        <v>5</v>
      </c>
      <c r="AQ8" s="16">
        <v>5</v>
      </c>
      <c r="AR8" s="16">
        <v>5</v>
      </c>
      <c r="AS8" s="17">
        <f t="shared" si="3"/>
        <v>9</v>
      </c>
    </row>
    <row r="9" spans="1:45" s="3" customFormat="1" x14ac:dyDescent="0.2">
      <c r="B9" s="3">
        <f t="shared" ref="B9:AS9" si="4">SUM(B2:B8)</f>
        <v>100</v>
      </c>
      <c r="C9" s="3">
        <f t="shared" si="4"/>
        <v>100</v>
      </c>
      <c r="D9" s="3">
        <f t="shared" si="4"/>
        <v>100</v>
      </c>
      <c r="E9" s="3">
        <f t="shared" si="4"/>
        <v>100</v>
      </c>
      <c r="F9" s="3">
        <f t="shared" si="4"/>
        <v>100</v>
      </c>
      <c r="G9" s="3">
        <f t="shared" si="4"/>
        <v>100</v>
      </c>
      <c r="H9" s="3">
        <f t="shared" si="4"/>
        <v>100</v>
      </c>
      <c r="I9" s="3">
        <f t="shared" si="4"/>
        <v>100</v>
      </c>
      <c r="J9" s="3">
        <f t="shared" si="4"/>
        <v>100</v>
      </c>
      <c r="K9" s="3">
        <f t="shared" si="4"/>
        <v>100</v>
      </c>
      <c r="L9" s="4">
        <f t="shared" si="4"/>
        <v>100</v>
      </c>
      <c r="M9" s="3">
        <f t="shared" si="4"/>
        <v>100</v>
      </c>
      <c r="N9" s="3">
        <f t="shared" si="4"/>
        <v>100</v>
      </c>
      <c r="O9" s="3">
        <f t="shared" si="4"/>
        <v>100</v>
      </c>
      <c r="P9" s="3">
        <f t="shared" si="4"/>
        <v>100</v>
      </c>
      <c r="Q9" s="3">
        <f t="shared" si="4"/>
        <v>100</v>
      </c>
      <c r="R9" s="3">
        <f t="shared" si="4"/>
        <v>100</v>
      </c>
      <c r="S9" s="3">
        <f t="shared" si="4"/>
        <v>100</v>
      </c>
      <c r="T9" s="3">
        <f t="shared" si="4"/>
        <v>100</v>
      </c>
      <c r="U9" s="3">
        <f t="shared" si="4"/>
        <v>100</v>
      </c>
      <c r="V9" s="3">
        <f t="shared" si="4"/>
        <v>100</v>
      </c>
      <c r="W9" s="4">
        <f t="shared" si="4"/>
        <v>100</v>
      </c>
      <c r="X9" s="3">
        <f t="shared" si="4"/>
        <v>100</v>
      </c>
      <c r="Y9" s="3">
        <f t="shared" si="4"/>
        <v>100</v>
      </c>
      <c r="Z9" s="3">
        <f t="shared" si="4"/>
        <v>100</v>
      </c>
      <c r="AA9" s="3">
        <f t="shared" si="4"/>
        <v>100</v>
      </c>
      <c r="AB9" s="3">
        <f t="shared" si="4"/>
        <v>100</v>
      </c>
      <c r="AC9" s="3">
        <f t="shared" si="4"/>
        <v>100</v>
      </c>
      <c r="AD9" s="3">
        <f>SUM(AD2:AD8)</f>
        <v>100</v>
      </c>
      <c r="AE9" s="3">
        <f t="shared" si="4"/>
        <v>100</v>
      </c>
      <c r="AF9" s="3">
        <f t="shared" si="4"/>
        <v>100</v>
      </c>
      <c r="AG9" s="3">
        <f t="shared" si="4"/>
        <v>100</v>
      </c>
      <c r="AH9" s="4">
        <f t="shared" si="4"/>
        <v>100</v>
      </c>
      <c r="AI9" s="3">
        <f t="shared" si="4"/>
        <v>100</v>
      </c>
      <c r="AJ9" s="3">
        <f>SUM(AJ2:AJ8)</f>
        <v>100</v>
      </c>
      <c r="AK9" s="3">
        <f t="shared" si="4"/>
        <v>100</v>
      </c>
      <c r="AL9" s="3">
        <f t="shared" si="4"/>
        <v>100</v>
      </c>
      <c r="AM9" s="3">
        <f t="shared" si="4"/>
        <v>100</v>
      </c>
      <c r="AN9" s="3">
        <f t="shared" si="4"/>
        <v>100</v>
      </c>
      <c r="AO9" s="3">
        <f t="shared" si="4"/>
        <v>100</v>
      </c>
      <c r="AP9" s="3">
        <f t="shared" si="4"/>
        <v>100</v>
      </c>
      <c r="AQ9" s="3">
        <f t="shared" si="4"/>
        <v>100</v>
      </c>
      <c r="AR9" s="3">
        <f t="shared" si="4"/>
        <v>100</v>
      </c>
      <c r="AS9" s="4">
        <f t="shared" si="4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  <row r="16" spans="1:45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H18" sqref="H18"/>
      <selection pane="topRight" activeCell="B13" sqref="B13"/>
    </sheetView>
  </sheetViews>
  <sheetFormatPr defaultRowHeight="12.75" x14ac:dyDescent="0.2"/>
  <cols>
    <col min="1" max="1" width="12.28515625" customWidth="1"/>
  </cols>
  <sheetData>
    <row r="1" spans="1:45" s="1" customFormat="1" x14ac:dyDescent="0.2">
      <c r="A1" s="4" t="s">
        <v>0</v>
      </c>
      <c r="B1" s="6" t="s">
        <v>405</v>
      </c>
      <c r="C1" s="6" t="s">
        <v>406</v>
      </c>
      <c r="D1" s="6" t="s">
        <v>407</v>
      </c>
      <c r="E1" s="6" t="s">
        <v>408</v>
      </c>
      <c r="F1" s="6" t="s">
        <v>409</v>
      </c>
      <c r="G1" s="6" t="s">
        <v>410</v>
      </c>
      <c r="H1" s="6" t="s">
        <v>411</v>
      </c>
      <c r="I1" s="6" t="s">
        <v>412</v>
      </c>
      <c r="J1" s="6" t="s">
        <v>413</v>
      </c>
      <c r="K1" s="6" t="s">
        <v>414</v>
      </c>
      <c r="L1" s="6"/>
      <c r="M1" s="6" t="s">
        <v>415</v>
      </c>
      <c r="N1" s="6" t="s">
        <v>416</v>
      </c>
      <c r="O1" s="6" t="s">
        <v>417</v>
      </c>
      <c r="P1" s="6" t="s">
        <v>418</v>
      </c>
      <c r="Q1" s="6" t="s">
        <v>419</v>
      </c>
      <c r="R1" s="6" t="s">
        <v>420</v>
      </c>
      <c r="S1" s="6" t="s">
        <v>421</v>
      </c>
      <c r="T1" s="6" t="s">
        <v>422</v>
      </c>
      <c r="U1" s="6" t="s">
        <v>423</v>
      </c>
      <c r="V1" s="6" t="s">
        <v>424</v>
      </c>
      <c r="W1" s="6"/>
      <c r="X1" s="6" t="s">
        <v>425</v>
      </c>
      <c r="Y1" s="6" t="s">
        <v>426</v>
      </c>
      <c r="Z1" s="6" t="s">
        <v>427</v>
      </c>
      <c r="AA1" s="6" t="s">
        <v>428</v>
      </c>
      <c r="AB1" s="6" t="s">
        <v>429</v>
      </c>
      <c r="AC1" s="6" t="s">
        <v>430</v>
      </c>
      <c r="AD1" s="6" t="s">
        <v>431</v>
      </c>
      <c r="AE1" s="6" t="s">
        <v>432</v>
      </c>
      <c r="AF1" s="6" t="s">
        <v>433</v>
      </c>
      <c r="AG1" s="6" t="s">
        <v>434</v>
      </c>
      <c r="AH1" s="6"/>
      <c r="AI1" s="6" t="s">
        <v>435</v>
      </c>
      <c r="AJ1" s="6" t="s">
        <v>436</v>
      </c>
      <c r="AK1" s="6" t="s">
        <v>437</v>
      </c>
      <c r="AL1" s="6" t="s">
        <v>438</v>
      </c>
      <c r="AM1" s="6" t="s">
        <v>439</v>
      </c>
      <c r="AN1" s="6" t="s">
        <v>440</v>
      </c>
      <c r="AO1" s="6" t="s">
        <v>441</v>
      </c>
      <c r="AP1" s="6" t="s">
        <v>442</v>
      </c>
      <c r="AQ1" s="6" t="s">
        <v>443</v>
      </c>
      <c r="AR1" s="6" t="s">
        <v>444</v>
      </c>
      <c r="AS1" s="4"/>
    </row>
    <row r="2" spans="1:45" x14ac:dyDescent="0.2">
      <c r="A2" s="3" t="s">
        <v>1</v>
      </c>
      <c r="B2" s="3">
        <v>50</v>
      </c>
      <c r="C2" s="3">
        <v>30</v>
      </c>
      <c r="D2" s="3">
        <v>15</v>
      </c>
      <c r="E2" s="3">
        <v>25</v>
      </c>
      <c r="F2" s="3">
        <v>15</v>
      </c>
      <c r="G2" s="3">
        <v>25</v>
      </c>
      <c r="H2" s="3">
        <v>50</v>
      </c>
      <c r="I2" s="3">
        <v>30</v>
      </c>
      <c r="J2" s="3">
        <v>10</v>
      </c>
      <c r="K2" s="3">
        <v>10</v>
      </c>
      <c r="L2" s="4">
        <f t="shared" ref="L2:L8" si="0">AVERAGE(B2:K2)</f>
        <v>26</v>
      </c>
      <c r="M2" s="3">
        <v>60</v>
      </c>
      <c r="N2" s="3">
        <v>15</v>
      </c>
      <c r="O2" s="3">
        <v>25</v>
      </c>
      <c r="P2" s="3">
        <v>25</v>
      </c>
      <c r="Q2" s="3">
        <v>75</v>
      </c>
      <c r="R2" s="3">
        <v>35</v>
      </c>
      <c r="S2" s="3">
        <v>15</v>
      </c>
      <c r="T2" s="3">
        <v>20</v>
      </c>
      <c r="U2" s="3">
        <v>30</v>
      </c>
      <c r="V2" s="3">
        <v>35</v>
      </c>
      <c r="W2" s="4">
        <f t="shared" ref="W2:W8" si="1">AVERAGE(M2:V2)</f>
        <v>33.5</v>
      </c>
      <c r="X2" s="3">
        <v>15</v>
      </c>
      <c r="Y2" s="3">
        <v>15</v>
      </c>
      <c r="Z2" s="3">
        <v>5</v>
      </c>
      <c r="AA2" s="3">
        <v>5</v>
      </c>
      <c r="AB2" s="3">
        <v>80</v>
      </c>
      <c r="AC2" s="3">
        <v>5</v>
      </c>
      <c r="AD2" s="3">
        <v>60</v>
      </c>
      <c r="AE2" s="3">
        <v>10</v>
      </c>
      <c r="AF2" s="3">
        <v>10</v>
      </c>
      <c r="AG2" s="3">
        <v>10</v>
      </c>
      <c r="AH2" s="4">
        <f t="shared" ref="AH2:AH8" si="2">AVERAGE(X2:AG2)</f>
        <v>21.5</v>
      </c>
      <c r="AI2" s="3">
        <v>30</v>
      </c>
      <c r="AJ2" s="3">
        <v>40</v>
      </c>
      <c r="AK2" s="3">
        <v>15</v>
      </c>
      <c r="AL2" s="3">
        <v>20</v>
      </c>
      <c r="AM2" s="3">
        <v>25</v>
      </c>
      <c r="AN2" s="3">
        <v>10</v>
      </c>
      <c r="AO2" s="3">
        <v>35</v>
      </c>
      <c r="AP2" s="3">
        <v>40</v>
      </c>
      <c r="AQ2" s="3">
        <v>45</v>
      </c>
      <c r="AR2" s="3">
        <v>30</v>
      </c>
      <c r="AS2" s="4">
        <f t="shared" ref="AS2:AS8" si="3">AVERAGE(AI2:AR2)</f>
        <v>29</v>
      </c>
    </row>
    <row r="3" spans="1:45" x14ac:dyDescent="0.2">
      <c r="A3" s="3" t="s">
        <v>2</v>
      </c>
      <c r="B3" s="3">
        <v>5</v>
      </c>
      <c r="C3" s="3">
        <v>10</v>
      </c>
      <c r="D3" s="3">
        <v>10</v>
      </c>
      <c r="E3" s="3">
        <v>5</v>
      </c>
      <c r="F3" s="3">
        <v>15</v>
      </c>
      <c r="G3" s="3">
        <v>10</v>
      </c>
      <c r="H3" s="3">
        <v>5</v>
      </c>
      <c r="I3" s="3">
        <v>10</v>
      </c>
      <c r="J3" s="3">
        <v>10</v>
      </c>
      <c r="K3" s="3">
        <v>15</v>
      </c>
      <c r="L3" s="4">
        <f t="shared" si="0"/>
        <v>9.5</v>
      </c>
      <c r="M3" s="3">
        <v>10</v>
      </c>
      <c r="N3" s="3">
        <v>15</v>
      </c>
      <c r="O3" s="3">
        <v>10</v>
      </c>
      <c r="P3" s="3">
        <v>5</v>
      </c>
      <c r="Q3" s="3">
        <v>5</v>
      </c>
      <c r="R3" s="3">
        <v>10</v>
      </c>
      <c r="S3" s="3">
        <v>10</v>
      </c>
      <c r="T3" s="3">
        <v>10</v>
      </c>
      <c r="U3" s="3">
        <v>10</v>
      </c>
      <c r="V3" s="3">
        <v>5</v>
      </c>
      <c r="W3" s="4">
        <f t="shared" si="1"/>
        <v>9</v>
      </c>
      <c r="X3" s="3">
        <v>25</v>
      </c>
      <c r="Y3" s="3">
        <v>20</v>
      </c>
      <c r="Z3" s="3">
        <v>25</v>
      </c>
      <c r="AA3" s="3">
        <v>45</v>
      </c>
      <c r="AB3" s="3">
        <v>15</v>
      </c>
      <c r="AC3" s="3">
        <v>10</v>
      </c>
      <c r="AD3" s="3">
        <v>15</v>
      </c>
      <c r="AE3" s="3">
        <v>20</v>
      </c>
      <c r="AF3" s="3">
        <v>15</v>
      </c>
      <c r="AG3" s="3">
        <v>20</v>
      </c>
      <c r="AH3" s="4">
        <f t="shared" si="2"/>
        <v>21</v>
      </c>
      <c r="AI3" s="3">
        <v>15</v>
      </c>
      <c r="AJ3" s="3">
        <v>15</v>
      </c>
      <c r="AK3" s="3">
        <v>20</v>
      </c>
      <c r="AL3" s="3">
        <v>15</v>
      </c>
      <c r="AM3" s="3">
        <v>15</v>
      </c>
      <c r="AN3" s="3">
        <v>35</v>
      </c>
      <c r="AO3" s="3">
        <v>10</v>
      </c>
      <c r="AP3" s="3">
        <v>10</v>
      </c>
      <c r="AQ3" s="3">
        <v>15</v>
      </c>
      <c r="AR3" s="3">
        <v>15</v>
      </c>
      <c r="AS3" s="4">
        <f t="shared" si="3"/>
        <v>16.5</v>
      </c>
    </row>
    <row r="4" spans="1:45" x14ac:dyDescent="0.2">
      <c r="A4" s="3" t="s">
        <v>3</v>
      </c>
      <c r="B4" s="3">
        <v>10</v>
      </c>
      <c r="C4" s="3">
        <v>0</v>
      </c>
      <c r="D4" s="3">
        <v>0</v>
      </c>
      <c r="E4" s="3">
        <v>30</v>
      </c>
      <c r="F4" s="3">
        <v>25</v>
      </c>
      <c r="G4" s="3">
        <v>5</v>
      </c>
      <c r="H4" s="3">
        <v>5</v>
      </c>
      <c r="I4" s="3">
        <v>10</v>
      </c>
      <c r="J4" s="3">
        <v>50</v>
      </c>
      <c r="K4" s="3">
        <v>35</v>
      </c>
      <c r="L4" s="4">
        <f t="shared" si="0"/>
        <v>17</v>
      </c>
      <c r="M4" s="3">
        <v>10</v>
      </c>
      <c r="N4" s="3">
        <v>50</v>
      </c>
      <c r="O4" s="3">
        <v>35</v>
      </c>
      <c r="P4" s="3">
        <v>45</v>
      </c>
      <c r="Q4" s="3">
        <v>5</v>
      </c>
      <c r="R4" s="3">
        <v>15</v>
      </c>
      <c r="S4" s="3">
        <v>25</v>
      </c>
      <c r="T4" s="3">
        <v>10</v>
      </c>
      <c r="U4" s="3">
        <v>0</v>
      </c>
      <c r="V4" s="3">
        <v>0</v>
      </c>
      <c r="W4" s="4">
        <f t="shared" si="1"/>
        <v>19.5</v>
      </c>
      <c r="X4" s="3">
        <v>10</v>
      </c>
      <c r="Y4" s="3">
        <v>15</v>
      </c>
      <c r="Z4" s="3">
        <v>0</v>
      </c>
      <c r="AA4" s="3">
        <v>0</v>
      </c>
      <c r="AB4" s="3">
        <v>0</v>
      </c>
      <c r="AC4" s="3">
        <v>60</v>
      </c>
      <c r="AD4" s="3">
        <v>0</v>
      </c>
      <c r="AE4" s="3">
        <v>5</v>
      </c>
      <c r="AF4" s="3">
        <v>0</v>
      </c>
      <c r="AG4" s="3">
        <v>15</v>
      </c>
      <c r="AH4" s="4">
        <f t="shared" si="2"/>
        <v>10.5</v>
      </c>
      <c r="AI4" s="3">
        <v>10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 t="shared" si="3"/>
        <v>1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5</v>
      </c>
      <c r="L5" s="4">
        <f t="shared" si="0"/>
        <v>0.5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685</v>
      </c>
      <c r="B6" s="3">
        <v>35</v>
      </c>
      <c r="C6" s="3">
        <v>60</v>
      </c>
      <c r="D6" s="3">
        <v>75</v>
      </c>
      <c r="E6" s="3">
        <v>40</v>
      </c>
      <c r="F6" s="3">
        <v>45</v>
      </c>
      <c r="G6" s="3">
        <v>60</v>
      </c>
      <c r="H6" s="3">
        <v>40</v>
      </c>
      <c r="I6" s="3">
        <v>50</v>
      </c>
      <c r="J6" s="3">
        <v>30</v>
      </c>
      <c r="K6" s="3">
        <v>35</v>
      </c>
      <c r="L6" s="4">
        <f t="shared" si="0"/>
        <v>47</v>
      </c>
      <c r="M6" s="3">
        <v>20</v>
      </c>
      <c r="N6" s="3">
        <v>20</v>
      </c>
      <c r="O6" s="3">
        <v>25</v>
      </c>
      <c r="P6" s="3">
        <v>25</v>
      </c>
      <c r="Q6" s="3">
        <v>15</v>
      </c>
      <c r="R6" s="3">
        <v>35</v>
      </c>
      <c r="S6" s="3">
        <v>50</v>
      </c>
      <c r="T6" s="3">
        <v>55</v>
      </c>
      <c r="U6" s="3">
        <v>60</v>
      </c>
      <c r="V6" s="3">
        <v>60</v>
      </c>
      <c r="W6" s="4">
        <f t="shared" si="1"/>
        <v>36.5</v>
      </c>
      <c r="X6" s="3">
        <v>50</v>
      </c>
      <c r="Y6" s="3">
        <v>40</v>
      </c>
      <c r="Z6" s="3">
        <v>55</v>
      </c>
      <c r="AA6" s="3">
        <v>45</v>
      </c>
      <c r="AB6" s="3">
        <v>5</v>
      </c>
      <c r="AC6" s="3">
        <v>25</v>
      </c>
      <c r="AD6" s="3">
        <v>20</v>
      </c>
      <c r="AE6" s="3">
        <v>60</v>
      </c>
      <c r="AF6" s="3">
        <v>75</v>
      </c>
      <c r="AG6" s="3">
        <v>55</v>
      </c>
      <c r="AH6" s="4">
        <f t="shared" si="2"/>
        <v>43</v>
      </c>
      <c r="AI6" s="3">
        <v>45</v>
      </c>
      <c r="AJ6" s="3">
        <v>35</v>
      </c>
      <c r="AK6" s="3">
        <v>60</v>
      </c>
      <c r="AL6" s="3">
        <v>65</v>
      </c>
      <c r="AM6" s="3">
        <v>60</v>
      </c>
      <c r="AN6" s="3">
        <v>55</v>
      </c>
      <c r="AO6" s="3">
        <v>50</v>
      </c>
      <c r="AP6" s="3">
        <v>50</v>
      </c>
      <c r="AQ6" s="3">
        <v>40</v>
      </c>
      <c r="AR6" s="3">
        <v>55</v>
      </c>
      <c r="AS6" s="4">
        <f t="shared" si="3"/>
        <v>51.5</v>
      </c>
    </row>
    <row r="7" spans="1:45" x14ac:dyDescent="0.2">
      <c r="A7" s="2" t="s">
        <v>689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4">
        <f t="shared" si="0"/>
        <v>0</v>
      </c>
      <c r="M7">
        <v>0</v>
      </c>
      <c r="N7">
        <v>0</v>
      </c>
      <c r="O7">
        <v>5</v>
      </c>
      <c r="P7">
        <v>0</v>
      </c>
      <c r="Q7">
        <v>0</v>
      </c>
      <c r="R7">
        <v>5</v>
      </c>
      <c r="S7">
        <v>0</v>
      </c>
      <c r="T7">
        <v>5</v>
      </c>
      <c r="U7">
        <v>0</v>
      </c>
      <c r="V7">
        <v>0</v>
      </c>
      <c r="W7" s="1">
        <f t="shared" si="1"/>
        <v>1.5</v>
      </c>
      <c r="X7">
        <v>0</v>
      </c>
      <c r="Y7">
        <v>10</v>
      </c>
      <c r="Z7">
        <v>15</v>
      </c>
      <c r="AA7">
        <v>5</v>
      </c>
      <c r="AB7">
        <v>0</v>
      </c>
      <c r="AC7">
        <v>0</v>
      </c>
      <c r="AD7">
        <v>0</v>
      </c>
      <c r="AE7">
        <v>5</v>
      </c>
      <c r="AF7">
        <v>0</v>
      </c>
      <c r="AG7">
        <v>0</v>
      </c>
      <c r="AH7" s="1">
        <f t="shared" si="2"/>
        <v>3.5</v>
      </c>
      <c r="AI7">
        <v>0</v>
      </c>
      <c r="AJ7">
        <v>10</v>
      </c>
      <c r="AK7">
        <v>5</v>
      </c>
      <c r="AL7">
        <v>0</v>
      </c>
      <c r="AM7">
        <v>0</v>
      </c>
      <c r="AN7">
        <v>0</v>
      </c>
      <c r="AO7">
        <v>5</v>
      </c>
      <c r="AP7">
        <v>0</v>
      </c>
      <c r="AQ7">
        <v>0</v>
      </c>
      <c r="AR7">
        <v>0</v>
      </c>
      <c r="AS7" s="1">
        <f t="shared" si="3"/>
        <v>2</v>
      </c>
    </row>
    <row r="8" spans="1:45" x14ac:dyDescent="0.2">
      <c r="A8" s="18" t="s">
        <v>690</v>
      </c>
      <c r="B8" s="18">
        <v>0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7">
        <f t="shared" si="0"/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9">
        <f t="shared" si="1"/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5</v>
      </c>
      <c r="AE8" s="18">
        <v>0</v>
      </c>
      <c r="AF8" s="18">
        <v>0</v>
      </c>
      <c r="AG8" s="18">
        <v>0</v>
      </c>
      <c r="AH8" s="19">
        <f t="shared" si="2"/>
        <v>0.5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9">
        <f t="shared" si="3"/>
        <v>0</v>
      </c>
    </row>
    <row r="9" spans="1:45" x14ac:dyDescent="0.2">
      <c r="B9">
        <f t="shared" ref="B9:AS9" si="4">SUM(B2:B8)</f>
        <v>100</v>
      </c>
      <c r="C9">
        <f t="shared" si="4"/>
        <v>100</v>
      </c>
      <c r="D9">
        <f t="shared" si="4"/>
        <v>100</v>
      </c>
      <c r="E9">
        <f t="shared" si="4"/>
        <v>100</v>
      </c>
      <c r="F9">
        <f t="shared" si="4"/>
        <v>100</v>
      </c>
      <c r="G9">
        <f t="shared" si="4"/>
        <v>100</v>
      </c>
      <c r="H9">
        <f t="shared" si="4"/>
        <v>100</v>
      </c>
      <c r="I9">
        <f t="shared" si="4"/>
        <v>100</v>
      </c>
      <c r="J9">
        <f t="shared" si="4"/>
        <v>100</v>
      </c>
      <c r="K9">
        <f t="shared" si="4"/>
        <v>100</v>
      </c>
      <c r="L9" s="1">
        <f t="shared" si="4"/>
        <v>100</v>
      </c>
      <c r="M9">
        <f t="shared" si="4"/>
        <v>100</v>
      </c>
      <c r="N9">
        <f t="shared" si="4"/>
        <v>100</v>
      </c>
      <c r="O9">
        <f t="shared" si="4"/>
        <v>100</v>
      </c>
      <c r="P9">
        <f t="shared" si="4"/>
        <v>100</v>
      </c>
      <c r="Q9">
        <f t="shared" si="4"/>
        <v>100</v>
      </c>
      <c r="R9">
        <f t="shared" si="4"/>
        <v>100</v>
      </c>
      <c r="S9">
        <f t="shared" si="4"/>
        <v>100</v>
      </c>
      <c r="T9">
        <f t="shared" si="4"/>
        <v>100</v>
      </c>
      <c r="U9">
        <f t="shared" si="4"/>
        <v>100</v>
      </c>
      <c r="V9">
        <f t="shared" si="4"/>
        <v>100</v>
      </c>
      <c r="W9" s="4">
        <f t="shared" si="4"/>
        <v>100</v>
      </c>
      <c r="X9">
        <f t="shared" si="4"/>
        <v>100</v>
      </c>
      <c r="Y9">
        <f t="shared" si="4"/>
        <v>100</v>
      </c>
      <c r="Z9">
        <f t="shared" si="4"/>
        <v>100</v>
      </c>
      <c r="AA9">
        <f t="shared" si="4"/>
        <v>100</v>
      </c>
      <c r="AB9">
        <f t="shared" si="4"/>
        <v>100</v>
      </c>
      <c r="AC9">
        <f t="shared" si="4"/>
        <v>100</v>
      </c>
      <c r="AD9">
        <f t="shared" si="4"/>
        <v>100</v>
      </c>
      <c r="AE9">
        <f t="shared" si="4"/>
        <v>100</v>
      </c>
      <c r="AF9">
        <f t="shared" si="4"/>
        <v>100</v>
      </c>
      <c r="AG9">
        <f t="shared" si="4"/>
        <v>100</v>
      </c>
      <c r="AH9" s="1">
        <f t="shared" si="4"/>
        <v>100</v>
      </c>
      <c r="AI9">
        <f t="shared" si="4"/>
        <v>100</v>
      </c>
      <c r="AJ9">
        <f t="shared" si="4"/>
        <v>100</v>
      </c>
      <c r="AK9">
        <f t="shared" si="4"/>
        <v>100</v>
      </c>
      <c r="AL9">
        <f t="shared" si="4"/>
        <v>100</v>
      </c>
      <c r="AM9">
        <f t="shared" si="4"/>
        <v>100</v>
      </c>
      <c r="AN9">
        <f t="shared" si="4"/>
        <v>100</v>
      </c>
      <c r="AO9">
        <f t="shared" si="4"/>
        <v>100</v>
      </c>
      <c r="AP9">
        <f t="shared" si="4"/>
        <v>100</v>
      </c>
      <c r="AQ9" s="3">
        <f t="shared" si="4"/>
        <v>100</v>
      </c>
      <c r="AR9">
        <f t="shared" si="4"/>
        <v>100</v>
      </c>
      <c r="AS9" s="4">
        <f t="shared" si="4"/>
        <v>100</v>
      </c>
    </row>
  </sheetData>
  <phoneticPr fontId="0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H18" sqref="H18"/>
      <selection pane="topRight" activeCell="B13" sqref="B13"/>
    </sheetView>
  </sheetViews>
  <sheetFormatPr defaultRowHeight="12.75" x14ac:dyDescent="0.2"/>
  <cols>
    <col min="1" max="1" width="12.28515625" customWidth="1"/>
  </cols>
  <sheetData>
    <row r="1" spans="1:45" s="1" customFormat="1" x14ac:dyDescent="0.2">
      <c r="A1" s="4" t="s">
        <v>0</v>
      </c>
      <c r="B1" s="6" t="s">
        <v>445</v>
      </c>
      <c r="C1" s="6" t="s">
        <v>446</v>
      </c>
      <c r="D1" s="6" t="s">
        <v>447</v>
      </c>
      <c r="E1" s="6" t="s">
        <v>448</v>
      </c>
      <c r="F1" s="6" t="s">
        <v>449</v>
      </c>
      <c r="G1" s="6" t="s">
        <v>450</v>
      </c>
      <c r="H1" s="6" t="s">
        <v>451</v>
      </c>
      <c r="I1" s="6" t="s">
        <v>452</v>
      </c>
      <c r="J1" s="6" t="s">
        <v>453</v>
      </c>
      <c r="K1" s="6" t="s">
        <v>454</v>
      </c>
      <c r="L1" s="6"/>
      <c r="M1" s="6" t="s">
        <v>455</v>
      </c>
      <c r="N1" s="6" t="s">
        <v>456</v>
      </c>
      <c r="O1" s="6" t="s">
        <v>457</v>
      </c>
      <c r="P1" s="6" t="s">
        <v>458</v>
      </c>
      <c r="Q1" s="6" t="s">
        <v>459</v>
      </c>
      <c r="R1" s="6" t="s">
        <v>460</v>
      </c>
      <c r="S1" s="6" t="s">
        <v>461</v>
      </c>
      <c r="T1" s="6" t="s">
        <v>462</v>
      </c>
      <c r="U1" s="6" t="s">
        <v>463</v>
      </c>
      <c r="V1" s="6" t="s">
        <v>464</v>
      </c>
      <c r="W1" s="6"/>
      <c r="X1" s="6" t="s">
        <v>465</v>
      </c>
      <c r="Y1" s="6" t="s">
        <v>466</v>
      </c>
      <c r="Z1" s="6" t="s">
        <v>467</v>
      </c>
      <c r="AA1" s="6" t="s">
        <v>468</v>
      </c>
      <c r="AB1" s="6" t="s">
        <v>469</v>
      </c>
      <c r="AC1" s="6" t="s">
        <v>470</v>
      </c>
      <c r="AD1" s="6" t="s">
        <v>471</v>
      </c>
      <c r="AE1" s="6" t="s">
        <v>472</v>
      </c>
      <c r="AF1" s="6" t="s">
        <v>473</v>
      </c>
      <c r="AG1" s="6" t="s">
        <v>474</v>
      </c>
      <c r="AH1" s="6"/>
      <c r="AI1" s="6" t="s">
        <v>475</v>
      </c>
      <c r="AJ1" s="6" t="s">
        <v>476</v>
      </c>
      <c r="AK1" s="6" t="s">
        <v>477</v>
      </c>
      <c r="AL1" s="6" t="s">
        <v>478</v>
      </c>
      <c r="AM1" s="6" t="s">
        <v>479</v>
      </c>
      <c r="AN1" s="6" t="s">
        <v>480</v>
      </c>
      <c r="AO1" s="6" t="s">
        <v>481</v>
      </c>
      <c r="AP1" s="6" t="s">
        <v>482</v>
      </c>
      <c r="AQ1" s="6" t="s">
        <v>483</v>
      </c>
      <c r="AR1" s="6" t="s">
        <v>484</v>
      </c>
      <c r="AS1" s="4"/>
    </row>
    <row r="2" spans="1:45" x14ac:dyDescent="0.2">
      <c r="A2" s="3" t="s">
        <v>1</v>
      </c>
      <c r="B2" s="3">
        <v>40</v>
      </c>
      <c r="C2" s="3">
        <v>15</v>
      </c>
      <c r="D2" s="3">
        <v>15</v>
      </c>
      <c r="E2" s="3">
        <v>15</v>
      </c>
      <c r="F2" s="3">
        <v>25</v>
      </c>
      <c r="G2" s="3">
        <v>20</v>
      </c>
      <c r="H2" s="3">
        <v>25</v>
      </c>
      <c r="I2" s="3">
        <v>10</v>
      </c>
      <c r="J2" s="3">
        <v>15</v>
      </c>
      <c r="K2" s="3">
        <v>10</v>
      </c>
      <c r="L2" s="4">
        <f t="shared" ref="L2:L8" si="0">AVERAGE(B2:K2)</f>
        <v>19</v>
      </c>
      <c r="M2" s="3">
        <v>15</v>
      </c>
      <c r="N2" s="3">
        <v>15</v>
      </c>
      <c r="O2" s="3">
        <v>20</v>
      </c>
      <c r="P2" s="3">
        <v>15</v>
      </c>
      <c r="Q2" s="3">
        <v>20</v>
      </c>
      <c r="R2" s="3">
        <v>40</v>
      </c>
      <c r="S2" s="3">
        <v>15</v>
      </c>
      <c r="T2" s="3">
        <v>15</v>
      </c>
      <c r="U2" s="3">
        <v>20</v>
      </c>
      <c r="V2" s="3">
        <v>15</v>
      </c>
      <c r="W2" s="4">
        <f t="shared" ref="W2:W8" si="1">AVERAGE(M2:V2)</f>
        <v>19</v>
      </c>
      <c r="X2" s="3">
        <v>25</v>
      </c>
      <c r="Y2" s="3">
        <v>20</v>
      </c>
      <c r="Z2" s="3">
        <v>20</v>
      </c>
      <c r="AA2" s="3">
        <v>10</v>
      </c>
      <c r="AB2" s="3">
        <v>20</v>
      </c>
      <c r="AC2" s="3">
        <v>30</v>
      </c>
      <c r="AD2" s="3">
        <v>20</v>
      </c>
      <c r="AE2" s="3">
        <v>25</v>
      </c>
      <c r="AF2" s="3">
        <v>30</v>
      </c>
      <c r="AG2" s="3">
        <v>20</v>
      </c>
      <c r="AH2" s="4">
        <f t="shared" ref="AH2:AH8" si="2">AVERAGE(X2:AG2)</f>
        <v>22</v>
      </c>
      <c r="AI2" s="3">
        <v>45</v>
      </c>
      <c r="AJ2" s="3">
        <v>15</v>
      </c>
      <c r="AK2" s="3">
        <v>15</v>
      </c>
      <c r="AL2" s="3">
        <v>10</v>
      </c>
      <c r="AM2" s="3">
        <v>10</v>
      </c>
      <c r="AN2" s="3">
        <v>15</v>
      </c>
      <c r="AO2" s="3">
        <v>15</v>
      </c>
      <c r="AP2" s="3">
        <v>25</v>
      </c>
      <c r="AQ2" s="3">
        <v>10</v>
      </c>
      <c r="AR2" s="3">
        <v>10</v>
      </c>
      <c r="AS2" s="4">
        <f t="shared" ref="AS2:AS8" si="3">AVERAGE(AI2:AR2)</f>
        <v>17</v>
      </c>
    </row>
    <row r="3" spans="1:45" x14ac:dyDescent="0.2">
      <c r="A3" s="3" t="s">
        <v>2</v>
      </c>
      <c r="B3" s="3">
        <v>10</v>
      </c>
      <c r="C3" s="3">
        <v>10</v>
      </c>
      <c r="D3" s="3">
        <v>10</v>
      </c>
      <c r="E3" s="3">
        <v>5</v>
      </c>
      <c r="F3" s="3">
        <v>5</v>
      </c>
      <c r="G3" s="3">
        <v>5</v>
      </c>
      <c r="H3" s="3">
        <v>5</v>
      </c>
      <c r="I3" s="3">
        <v>10</v>
      </c>
      <c r="J3" s="3">
        <v>15</v>
      </c>
      <c r="K3" s="3">
        <v>15</v>
      </c>
      <c r="L3" s="4">
        <f t="shared" si="0"/>
        <v>9</v>
      </c>
      <c r="M3" s="3">
        <v>10</v>
      </c>
      <c r="N3" s="3">
        <v>5</v>
      </c>
      <c r="O3" s="3">
        <v>5</v>
      </c>
      <c r="P3" s="3">
        <v>15</v>
      </c>
      <c r="Q3" s="3">
        <v>10</v>
      </c>
      <c r="R3" s="3">
        <v>10</v>
      </c>
      <c r="S3" s="3">
        <v>15</v>
      </c>
      <c r="T3" s="3">
        <v>5</v>
      </c>
      <c r="U3" s="3">
        <v>10</v>
      </c>
      <c r="V3" s="3">
        <v>10</v>
      </c>
      <c r="W3" s="4">
        <f t="shared" si="1"/>
        <v>9.5</v>
      </c>
      <c r="X3" s="3">
        <v>5</v>
      </c>
      <c r="Y3" s="3">
        <v>5</v>
      </c>
      <c r="Z3" s="3">
        <v>15</v>
      </c>
      <c r="AA3" s="3">
        <v>10</v>
      </c>
      <c r="AB3" s="3">
        <v>20</v>
      </c>
      <c r="AC3" s="3">
        <v>10</v>
      </c>
      <c r="AD3" s="3">
        <v>10</v>
      </c>
      <c r="AE3" s="3">
        <v>15</v>
      </c>
      <c r="AF3" s="3">
        <v>15</v>
      </c>
      <c r="AG3" s="3">
        <v>5</v>
      </c>
      <c r="AH3" s="4">
        <f t="shared" si="2"/>
        <v>11</v>
      </c>
      <c r="AI3" s="3">
        <v>10</v>
      </c>
      <c r="AJ3" s="3">
        <v>5</v>
      </c>
      <c r="AK3" s="3">
        <v>5</v>
      </c>
      <c r="AL3" s="3">
        <v>10</v>
      </c>
      <c r="AM3" s="3">
        <v>5</v>
      </c>
      <c r="AN3" s="3">
        <v>10</v>
      </c>
      <c r="AO3" s="3">
        <v>5</v>
      </c>
      <c r="AP3" s="3">
        <v>5</v>
      </c>
      <c r="AQ3" s="3">
        <v>10</v>
      </c>
      <c r="AR3" s="3">
        <v>5</v>
      </c>
      <c r="AS3" s="4">
        <f t="shared" si="3"/>
        <v>7</v>
      </c>
    </row>
    <row r="4" spans="1:45" x14ac:dyDescent="0.2">
      <c r="A4" s="3" t="s">
        <v>3</v>
      </c>
      <c r="B4" s="3">
        <v>25</v>
      </c>
      <c r="C4" s="3">
        <v>50</v>
      </c>
      <c r="D4" s="3">
        <v>50</v>
      </c>
      <c r="E4" s="3">
        <v>55</v>
      </c>
      <c r="F4" s="3">
        <v>45</v>
      </c>
      <c r="G4" s="3">
        <v>45</v>
      </c>
      <c r="H4" s="3">
        <v>35</v>
      </c>
      <c r="I4" s="3">
        <v>40</v>
      </c>
      <c r="J4" s="3">
        <v>45</v>
      </c>
      <c r="K4" s="3">
        <v>40</v>
      </c>
      <c r="L4" s="4">
        <f t="shared" si="0"/>
        <v>43</v>
      </c>
      <c r="M4" s="3">
        <v>55</v>
      </c>
      <c r="N4" s="3">
        <v>50</v>
      </c>
      <c r="O4" s="3">
        <v>50</v>
      </c>
      <c r="P4" s="3">
        <v>50</v>
      </c>
      <c r="Q4" s="3">
        <v>50</v>
      </c>
      <c r="R4" s="3">
        <v>30</v>
      </c>
      <c r="S4" s="3">
        <v>50</v>
      </c>
      <c r="T4" s="3">
        <v>55</v>
      </c>
      <c r="U4" s="3">
        <v>45</v>
      </c>
      <c r="V4" s="3">
        <v>35</v>
      </c>
      <c r="W4" s="4">
        <f t="shared" si="1"/>
        <v>47</v>
      </c>
      <c r="X4" s="3">
        <v>50</v>
      </c>
      <c r="Y4" s="3">
        <v>55</v>
      </c>
      <c r="Z4" s="3">
        <v>60</v>
      </c>
      <c r="AA4" s="3">
        <v>65</v>
      </c>
      <c r="AB4" s="3">
        <v>40</v>
      </c>
      <c r="AC4" s="3">
        <v>45</v>
      </c>
      <c r="AD4" s="3">
        <v>30</v>
      </c>
      <c r="AE4" s="3">
        <v>45</v>
      </c>
      <c r="AF4" s="3">
        <v>30</v>
      </c>
      <c r="AG4" s="3">
        <v>50</v>
      </c>
      <c r="AH4" s="4">
        <f t="shared" si="2"/>
        <v>47</v>
      </c>
      <c r="AI4" s="3">
        <v>25</v>
      </c>
      <c r="AJ4" s="3">
        <v>45</v>
      </c>
      <c r="AK4" s="3">
        <v>60</v>
      </c>
      <c r="AL4" s="3">
        <v>55</v>
      </c>
      <c r="AM4" s="3">
        <v>55</v>
      </c>
      <c r="AN4" s="3">
        <v>45</v>
      </c>
      <c r="AO4" s="3">
        <v>50</v>
      </c>
      <c r="AP4" s="3">
        <v>50</v>
      </c>
      <c r="AQ4" s="3">
        <v>40</v>
      </c>
      <c r="AR4" s="3">
        <v>55</v>
      </c>
      <c r="AS4" s="4">
        <f t="shared" si="3"/>
        <v>48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5</v>
      </c>
      <c r="AR5" s="3">
        <v>0</v>
      </c>
      <c r="AS5" s="4">
        <f t="shared" si="3"/>
        <v>0.5</v>
      </c>
    </row>
    <row r="6" spans="1:45" x14ac:dyDescent="0.2">
      <c r="A6" s="3" t="s">
        <v>685</v>
      </c>
      <c r="B6" s="3">
        <v>5</v>
      </c>
      <c r="C6" s="3">
        <v>5</v>
      </c>
      <c r="D6" s="3">
        <v>10</v>
      </c>
      <c r="E6" s="3">
        <v>10</v>
      </c>
      <c r="F6" s="3">
        <v>5</v>
      </c>
      <c r="G6" s="3">
        <v>15</v>
      </c>
      <c r="H6" s="3">
        <v>5</v>
      </c>
      <c r="I6" s="3">
        <v>5</v>
      </c>
      <c r="J6" s="3">
        <v>5</v>
      </c>
      <c r="K6" s="3">
        <v>10</v>
      </c>
      <c r="L6" s="4">
        <f t="shared" si="0"/>
        <v>7.5</v>
      </c>
      <c r="M6" s="3">
        <v>5</v>
      </c>
      <c r="N6" s="3">
        <v>10</v>
      </c>
      <c r="O6" s="3">
        <v>5</v>
      </c>
      <c r="P6" s="3">
        <v>10</v>
      </c>
      <c r="Q6" s="3">
        <v>5</v>
      </c>
      <c r="R6" s="3">
        <v>5</v>
      </c>
      <c r="S6" s="3">
        <v>10</v>
      </c>
      <c r="T6" s="3">
        <v>5</v>
      </c>
      <c r="U6" s="3">
        <v>5</v>
      </c>
      <c r="V6" s="3">
        <v>15</v>
      </c>
      <c r="W6" s="4">
        <f t="shared" si="1"/>
        <v>7.5</v>
      </c>
      <c r="X6" s="3">
        <v>5</v>
      </c>
      <c r="Y6" s="3">
        <v>10</v>
      </c>
      <c r="Z6" s="3">
        <v>5</v>
      </c>
      <c r="AA6" s="3">
        <v>5</v>
      </c>
      <c r="AB6" s="3">
        <v>10</v>
      </c>
      <c r="AC6" s="3">
        <v>10</v>
      </c>
      <c r="AD6" s="3">
        <v>5</v>
      </c>
      <c r="AE6" s="3">
        <v>10</v>
      </c>
      <c r="AF6" s="3">
        <v>10</v>
      </c>
      <c r="AG6" s="3">
        <v>5</v>
      </c>
      <c r="AH6" s="4">
        <f t="shared" si="2"/>
        <v>7.5</v>
      </c>
      <c r="AI6" s="3">
        <v>5</v>
      </c>
      <c r="AJ6" s="3">
        <v>15</v>
      </c>
      <c r="AK6" s="3">
        <v>10</v>
      </c>
      <c r="AL6" s="3">
        <v>5</v>
      </c>
      <c r="AM6" s="3">
        <v>10</v>
      </c>
      <c r="AN6" s="3">
        <v>5</v>
      </c>
      <c r="AO6" s="3">
        <v>10</v>
      </c>
      <c r="AP6" s="3">
        <v>10</v>
      </c>
      <c r="AQ6" s="3">
        <v>15</v>
      </c>
      <c r="AR6" s="3">
        <v>5</v>
      </c>
      <c r="AS6" s="4">
        <f t="shared" si="3"/>
        <v>9</v>
      </c>
    </row>
    <row r="7" spans="1:45" x14ac:dyDescent="0.2">
      <c r="A7" t="s">
        <v>689</v>
      </c>
      <c r="B7">
        <v>10</v>
      </c>
      <c r="C7">
        <v>5</v>
      </c>
      <c r="D7">
        <v>5</v>
      </c>
      <c r="E7">
        <v>10</v>
      </c>
      <c r="F7">
        <v>10</v>
      </c>
      <c r="G7">
        <v>10</v>
      </c>
      <c r="H7">
        <v>20</v>
      </c>
      <c r="I7">
        <v>25</v>
      </c>
      <c r="J7">
        <v>10</v>
      </c>
      <c r="K7">
        <v>15</v>
      </c>
      <c r="L7" s="4">
        <f t="shared" si="0"/>
        <v>12</v>
      </c>
      <c r="M7">
        <v>0</v>
      </c>
      <c r="N7">
        <v>5</v>
      </c>
      <c r="O7">
        <v>10</v>
      </c>
      <c r="P7">
        <v>5</v>
      </c>
      <c r="Q7">
        <v>5</v>
      </c>
      <c r="R7">
        <v>5</v>
      </c>
      <c r="S7">
        <v>5</v>
      </c>
      <c r="T7">
        <v>10</v>
      </c>
      <c r="U7">
        <v>10</v>
      </c>
      <c r="V7">
        <v>15</v>
      </c>
      <c r="W7" s="1">
        <f t="shared" si="1"/>
        <v>7</v>
      </c>
      <c r="X7">
        <v>10</v>
      </c>
      <c r="Y7">
        <v>5</v>
      </c>
      <c r="Z7">
        <v>0</v>
      </c>
      <c r="AA7">
        <v>5</v>
      </c>
      <c r="AB7">
        <v>5</v>
      </c>
      <c r="AC7">
        <v>0</v>
      </c>
      <c r="AD7">
        <v>30</v>
      </c>
      <c r="AE7">
        <v>5</v>
      </c>
      <c r="AF7">
        <v>5</v>
      </c>
      <c r="AG7">
        <v>5</v>
      </c>
      <c r="AH7" s="1">
        <f t="shared" si="2"/>
        <v>7</v>
      </c>
      <c r="AI7">
        <v>5</v>
      </c>
      <c r="AJ7">
        <v>15</v>
      </c>
      <c r="AK7">
        <v>5</v>
      </c>
      <c r="AL7">
        <v>15</v>
      </c>
      <c r="AM7">
        <v>10</v>
      </c>
      <c r="AN7">
        <v>15</v>
      </c>
      <c r="AO7">
        <v>15</v>
      </c>
      <c r="AP7">
        <v>5</v>
      </c>
      <c r="AQ7">
        <v>15</v>
      </c>
      <c r="AR7">
        <v>20</v>
      </c>
      <c r="AS7" s="1">
        <f t="shared" si="3"/>
        <v>12</v>
      </c>
    </row>
    <row r="8" spans="1:45" x14ac:dyDescent="0.2">
      <c r="A8" s="18" t="s">
        <v>690</v>
      </c>
      <c r="B8" s="18">
        <v>10</v>
      </c>
      <c r="C8" s="18">
        <v>15</v>
      </c>
      <c r="D8" s="18">
        <v>10</v>
      </c>
      <c r="E8" s="18">
        <v>5</v>
      </c>
      <c r="F8" s="18">
        <v>10</v>
      </c>
      <c r="G8" s="18">
        <v>5</v>
      </c>
      <c r="H8" s="18">
        <v>10</v>
      </c>
      <c r="I8" s="18">
        <v>10</v>
      </c>
      <c r="J8" s="18">
        <v>10</v>
      </c>
      <c r="K8" s="18">
        <v>10</v>
      </c>
      <c r="L8" s="17">
        <f t="shared" si="0"/>
        <v>9.5</v>
      </c>
      <c r="M8" s="18">
        <v>15</v>
      </c>
      <c r="N8" s="18">
        <v>15</v>
      </c>
      <c r="O8" s="18">
        <v>10</v>
      </c>
      <c r="P8" s="18">
        <v>5</v>
      </c>
      <c r="Q8" s="18">
        <v>10</v>
      </c>
      <c r="R8" s="18">
        <v>10</v>
      </c>
      <c r="S8" s="18">
        <v>5</v>
      </c>
      <c r="T8" s="18">
        <v>10</v>
      </c>
      <c r="U8" s="18">
        <v>10</v>
      </c>
      <c r="V8" s="18">
        <v>10</v>
      </c>
      <c r="W8" s="19">
        <f t="shared" si="1"/>
        <v>10</v>
      </c>
      <c r="X8" s="18">
        <v>5</v>
      </c>
      <c r="Y8" s="18">
        <v>5</v>
      </c>
      <c r="Z8" s="18">
        <v>0</v>
      </c>
      <c r="AA8" s="18">
        <v>5</v>
      </c>
      <c r="AB8" s="18">
        <v>5</v>
      </c>
      <c r="AC8" s="18">
        <v>5</v>
      </c>
      <c r="AD8" s="18">
        <v>5</v>
      </c>
      <c r="AE8" s="18">
        <v>0</v>
      </c>
      <c r="AF8" s="18">
        <v>10</v>
      </c>
      <c r="AG8" s="18">
        <v>15</v>
      </c>
      <c r="AH8" s="19">
        <f t="shared" si="2"/>
        <v>5.5</v>
      </c>
      <c r="AI8" s="18">
        <v>10</v>
      </c>
      <c r="AJ8" s="18">
        <v>5</v>
      </c>
      <c r="AK8" s="18">
        <v>5</v>
      </c>
      <c r="AL8" s="18">
        <v>5</v>
      </c>
      <c r="AM8" s="18">
        <v>10</v>
      </c>
      <c r="AN8" s="18">
        <v>10</v>
      </c>
      <c r="AO8" s="18">
        <v>5</v>
      </c>
      <c r="AP8" s="18">
        <v>5</v>
      </c>
      <c r="AQ8" s="18">
        <v>5</v>
      </c>
      <c r="AR8" s="18">
        <v>5</v>
      </c>
      <c r="AS8" s="19">
        <f t="shared" si="3"/>
        <v>6.5</v>
      </c>
    </row>
    <row r="9" spans="1:45" x14ac:dyDescent="0.2">
      <c r="B9">
        <f t="shared" ref="B9:AS9" si="4">SUM(B2:B8)</f>
        <v>100</v>
      </c>
      <c r="C9">
        <f t="shared" si="4"/>
        <v>100</v>
      </c>
      <c r="D9">
        <f t="shared" si="4"/>
        <v>100</v>
      </c>
      <c r="E9">
        <f t="shared" si="4"/>
        <v>100</v>
      </c>
      <c r="F9">
        <f t="shared" si="4"/>
        <v>100</v>
      </c>
      <c r="G9">
        <f t="shared" si="4"/>
        <v>100</v>
      </c>
      <c r="H9">
        <f t="shared" si="4"/>
        <v>100</v>
      </c>
      <c r="I9">
        <f t="shared" si="4"/>
        <v>100</v>
      </c>
      <c r="J9">
        <f t="shared" si="4"/>
        <v>100</v>
      </c>
      <c r="K9">
        <f t="shared" si="4"/>
        <v>100</v>
      </c>
      <c r="L9" s="1">
        <f t="shared" si="4"/>
        <v>100</v>
      </c>
      <c r="M9">
        <f t="shared" si="4"/>
        <v>100</v>
      </c>
      <c r="N9">
        <f t="shared" si="4"/>
        <v>100</v>
      </c>
      <c r="O9">
        <f t="shared" si="4"/>
        <v>100</v>
      </c>
      <c r="P9">
        <f t="shared" si="4"/>
        <v>100</v>
      </c>
      <c r="Q9">
        <f t="shared" si="4"/>
        <v>100</v>
      </c>
      <c r="R9">
        <f t="shared" si="4"/>
        <v>100</v>
      </c>
      <c r="S9">
        <f t="shared" si="4"/>
        <v>100</v>
      </c>
      <c r="T9">
        <f t="shared" si="4"/>
        <v>100</v>
      </c>
      <c r="U9">
        <f t="shared" si="4"/>
        <v>100</v>
      </c>
      <c r="V9">
        <f t="shared" si="4"/>
        <v>100</v>
      </c>
      <c r="W9" s="1">
        <f t="shared" si="4"/>
        <v>100</v>
      </c>
      <c r="X9">
        <f t="shared" si="4"/>
        <v>100</v>
      </c>
      <c r="Y9">
        <f t="shared" si="4"/>
        <v>100</v>
      </c>
      <c r="Z9">
        <f t="shared" si="4"/>
        <v>100</v>
      </c>
      <c r="AA9">
        <f t="shared" si="4"/>
        <v>100</v>
      </c>
      <c r="AB9">
        <f t="shared" si="4"/>
        <v>100</v>
      </c>
      <c r="AC9">
        <f t="shared" si="4"/>
        <v>100</v>
      </c>
      <c r="AD9">
        <f t="shared" si="4"/>
        <v>100</v>
      </c>
      <c r="AE9">
        <f t="shared" si="4"/>
        <v>100</v>
      </c>
      <c r="AF9">
        <f t="shared" si="4"/>
        <v>100</v>
      </c>
      <c r="AG9">
        <f t="shared" si="4"/>
        <v>100</v>
      </c>
      <c r="AH9" s="1">
        <f t="shared" si="4"/>
        <v>100</v>
      </c>
      <c r="AI9">
        <f t="shared" si="4"/>
        <v>100</v>
      </c>
      <c r="AJ9">
        <f t="shared" si="4"/>
        <v>100</v>
      </c>
      <c r="AK9">
        <f t="shared" si="4"/>
        <v>100</v>
      </c>
      <c r="AL9">
        <f t="shared" si="4"/>
        <v>100</v>
      </c>
      <c r="AM9">
        <f t="shared" si="4"/>
        <v>100</v>
      </c>
      <c r="AN9">
        <f t="shared" si="4"/>
        <v>100</v>
      </c>
      <c r="AO9">
        <f t="shared" si="4"/>
        <v>100</v>
      </c>
      <c r="AP9">
        <f t="shared" si="4"/>
        <v>100</v>
      </c>
      <c r="AQ9">
        <f t="shared" si="4"/>
        <v>100</v>
      </c>
      <c r="AR9">
        <f t="shared" si="4"/>
        <v>100</v>
      </c>
      <c r="AS9" s="1">
        <f t="shared" si="4"/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H18" sqref="H18"/>
      <selection pane="topRight" activeCell="C12" sqref="C12"/>
    </sheetView>
  </sheetViews>
  <sheetFormatPr defaultRowHeight="12.75" x14ac:dyDescent="0.2"/>
  <cols>
    <col min="1" max="1" width="12.5703125" customWidth="1"/>
  </cols>
  <sheetData>
    <row r="1" spans="1:45" s="1" customFormat="1" x14ac:dyDescent="0.2">
      <c r="A1" s="4" t="s">
        <v>0</v>
      </c>
      <c r="B1" s="6" t="s">
        <v>485</v>
      </c>
      <c r="C1" s="6" t="s">
        <v>486</v>
      </c>
      <c r="D1" s="6" t="s">
        <v>487</v>
      </c>
      <c r="E1" s="6" t="s">
        <v>488</v>
      </c>
      <c r="F1" s="6" t="s">
        <v>489</v>
      </c>
      <c r="G1" s="6" t="s">
        <v>490</v>
      </c>
      <c r="H1" s="6" t="s">
        <v>491</v>
      </c>
      <c r="I1" s="6" t="s">
        <v>492</v>
      </c>
      <c r="J1" s="6" t="s">
        <v>493</v>
      </c>
      <c r="K1" s="6" t="s">
        <v>494</v>
      </c>
      <c r="L1" s="6"/>
      <c r="M1" s="6" t="s">
        <v>495</v>
      </c>
      <c r="N1" s="6" t="s">
        <v>496</v>
      </c>
      <c r="O1" s="6" t="s">
        <v>497</v>
      </c>
      <c r="P1" s="6" t="s">
        <v>498</v>
      </c>
      <c r="Q1" s="6" t="s">
        <v>499</v>
      </c>
      <c r="R1" s="6" t="s">
        <v>500</v>
      </c>
      <c r="S1" s="6" t="s">
        <v>501</v>
      </c>
      <c r="T1" s="6" t="s">
        <v>502</v>
      </c>
      <c r="U1" s="6" t="s">
        <v>503</v>
      </c>
      <c r="V1" s="6" t="s">
        <v>504</v>
      </c>
      <c r="W1" s="6"/>
      <c r="X1" s="6" t="s">
        <v>505</v>
      </c>
      <c r="Y1" s="6" t="s">
        <v>506</v>
      </c>
      <c r="Z1" s="6" t="s">
        <v>507</v>
      </c>
      <c r="AA1" s="6" t="s">
        <v>508</v>
      </c>
      <c r="AB1" s="6" t="s">
        <v>509</v>
      </c>
      <c r="AC1" s="6" t="s">
        <v>510</v>
      </c>
      <c r="AD1" s="6" t="s">
        <v>511</v>
      </c>
      <c r="AE1" s="6" t="s">
        <v>512</v>
      </c>
      <c r="AF1" s="6" t="s">
        <v>513</v>
      </c>
      <c r="AG1" s="6" t="s">
        <v>514</v>
      </c>
      <c r="AH1" s="6"/>
      <c r="AI1" s="6" t="s">
        <v>515</v>
      </c>
      <c r="AJ1" s="6" t="s">
        <v>516</v>
      </c>
      <c r="AK1" s="6" t="s">
        <v>517</v>
      </c>
      <c r="AL1" s="6" t="s">
        <v>518</v>
      </c>
      <c r="AM1" s="6" t="s">
        <v>519</v>
      </c>
      <c r="AN1" s="6" t="s">
        <v>520</v>
      </c>
      <c r="AO1" s="6" t="s">
        <v>521</v>
      </c>
      <c r="AP1" s="6" t="s">
        <v>522</v>
      </c>
      <c r="AQ1" s="6" t="s">
        <v>523</v>
      </c>
      <c r="AR1" s="6" t="s">
        <v>524</v>
      </c>
      <c r="AS1" s="4"/>
    </row>
    <row r="2" spans="1:45" x14ac:dyDescent="0.2">
      <c r="A2" s="3" t="s">
        <v>1</v>
      </c>
      <c r="B2" s="3">
        <v>10</v>
      </c>
      <c r="C2" s="3">
        <v>45</v>
      </c>
      <c r="D2" s="3">
        <v>30</v>
      </c>
      <c r="E2" s="3">
        <v>50</v>
      </c>
      <c r="F2" s="3">
        <v>20</v>
      </c>
      <c r="G2" s="3">
        <v>50</v>
      </c>
      <c r="H2" s="3">
        <v>50</v>
      </c>
      <c r="I2" s="3">
        <v>30</v>
      </c>
      <c r="J2" s="3">
        <v>30</v>
      </c>
      <c r="K2" s="3">
        <v>35</v>
      </c>
      <c r="L2" s="4">
        <f t="shared" ref="L2:L8" si="0">AVERAGE(B2:K2)</f>
        <v>35</v>
      </c>
      <c r="M2" s="3">
        <v>55</v>
      </c>
      <c r="N2" s="3">
        <v>45</v>
      </c>
      <c r="O2" s="3">
        <v>20</v>
      </c>
      <c r="P2" s="3">
        <v>40</v>
      </c>
      <c r="Q2" s="3">
        <v>25</v>
      </c>
      <c r="R2" s="3">
        <v>35</v>
      </c>
      <c r="S2" s="3">
        <v>25</v>
      </c>
      <c r="T2" s="3">
        <v>20</v>
      </c>
      <c r="U2" s="3">
        <v>35</v>
      </c>
      <c r="V2" s="3">
        <v>35</v>
      </c>
      <c r="W2" s="4">
        <f t="shared" ref="W2:W8" si="1">AVERAGE(M2:V2)</f>
        <v>33.5</v>
      </c>
      <c r="X2" s="3">
        <v>25</v>
      </c>
      <c r="Y2" s="3">
        <v>15</v>
      </c>
      <c r="Z2" s="3">
        <v>40</v>
      </c>
      <c r="AA2" s="3">
        <v>15</v>
      </c>
      <c r="AB2" s="3">
        <v>20</v>
      </c>
      <c r="AC2" s="3">
        <v>15</v>
      </c>
      <c r="AD2" s="3">
        <v>15</v>
      </c>
      <c r="AE2" s="3">
        <v>15</v>
      </c>
      <c r="AF2" s="3">
        <v>25</v>
      </c>
      <c r="AG2" s="3">
        <v>25</v>
      </c>
      <c r="AH2" s="4">
        <f t="shared" ref="AH2:AH8" si="2">AVERAGE(X2:AG2)</f>
        <v>21</v>
      </c>
      <c r="AI2" s="3">
        <v>40</v>
      </c>
      <c r="AJ2" s="3">
        <v>30</v>
      </c>
      <c r="AK2" s="3">
        <v>15</v>
      </c>
      <c r="AL2" s="3">
        <v>15</v>
      </c>
      <c r="AM2" s="3">
        <v>20</v>
      </c>
      <c r="AN2" s="3">
        <v>15</v>
      </c>
      <c r="AO2" s="3">
        <v>25</v>
      </c>
      <c r="AP2" s="3">
        <v>35</v>
      </c>
      <c r="AQ2" s="3">
        <v>20</v>
      </c>
      <c r="AR2" s="3">
        <v>35</v>
      </c>
      <c r="AS2" s="4">
        <f t="shared" ref="AS2:AS8" si="3">AVERAGE(AI2:AR2)</f>
        <v>25</v>
      </c>
    </row>
    <row r="3" spans="1:45" x14ac:dyDescent="0.2">
      <c r="A3" s="3" t="s">
        <v>2</v>
      </c>
      <c r="B3" s="3">
        <v>15</v>
      </c>
      <c r="C3" s="3">
        <v>10</v>
      </c>
      <c r="D3" s="3">
        <v>10</v>
      </c>
      <c r="E3" s="3">
        <v>5</v>
      </c>
      <c r="F3" s="3">
        <v>10</v>
      </c>
      <c r="G3" s="3">
        <v>5</v>
      </c>
      <c r="H3" s="3">
        <v>15</v>
      </c>
      <c r="I3" s="3">
        <v>15</v>
      </c>
      <c r="J3" s="3">
        <v>5</v>
      </c>
      <c r="K3" s="3">
        <v>15</v>
      </c>
      <c r="L3" s="4">
        <f t="shared" si="0"/>
        <v>10.5</v>
      </c>
      <c r="M3" s="3">
        <v>10</v>
      </c>
      <c r="N3" s="3">
        <v>10</v>
      </c>
      <c r="O3" s="3">
        <v>5</v>
      </c>
      <c r="P3" s="3">
        <v>15</v>
      </c>
      <c r="Q3" s="3">
        <v>15</v>
      </c>
      <c r="R3" s="3">
        <v>15</v>
      </c>
      <c r="S3" s="3">
        <v>25</v>
      </c>
      <c r="T3" s="3">
        <v>20</v>
      </c>
      <c r="U3" s="3">
        <v>10</v>
      </c>
      <c r="V3" s="3">
        <v>5</v>
      </c>
      <c r="W3" s="4">
        <f t="shared" si="1"/>
        <v>13</v>
      </c>
      <c r="X3" s="3">
        <v>10</v>
      </c>
      <c r="Y3" s="3">
        <v>5</v>
      </c>
      <c r="Z3" s="3">
        <v>5</v>
      </c>
      <c r="AA3" s="3">
        <v>5</v>
      </c>
      <c r="AB3" s="3">
        <v>10</v>
      </c>
      <c r="AC3" s="3">
        <v>5</v>
      </c>
      <c r="AD3" s="3">
        <v>15</v>
      </c>
      <c r="AE3" s="3">
        <v>10</v>
      </c>
      <c r="AF3" s="3">
        <v>10</v>
      </c>
      <c r="AG3" s="3">
        <v>15</v>
      </c>
      <c r="AH3" s="4">
        <f t="shared" si="2"/>
        <v>9</v>
      </c>
      <c r="AI3" s="3">
        <v>5</v>
      </c>
      <c r="AJ3" s="3">
        <v>5</v>
      </c>
      <c r="AK3" s="3">
        <v>15</v>
      </c>
      <c r="AL3" s="3">
        <v>10</v>
      </c>
      <c r="AM3" s="3">
        <v>5</v>
      </c>
      <c r="AN3" s="3">
        <v>5</v>
      </c>
      <c r="AO3" s="3">
        <v>5</v>
      </c>
      <c r="AP3" s="3">
        <v>5</v>
      </c>
      <c r="AQ3" s="3">
        <v>10</v>
      </c>
      <c r="AR3" s="3">
        <v>10</v>
      </c>
      <c r="AS3" s="4">
        <f t="shared" si="3"/>
        <v>7.5</v>
      </c>
    </row>
    <row r="4" spans="1:45" x14ac:dyDescent="0.2">
      <c r="A4" s="3" t="s">
        <v>3</v>
      </c>
      <c r="B4" s="3">
        <v>35</v>
      </c>
      <c r="C4" s="3">
        <v>15</v>
      </c>
      <c r="D4" s="3">
        <v>20</v>
      </c>
      <c r="E4" s="3">
        <v>15</v>
      </c>
      <c r="F4" s="3">
        <v>35</v>
      </c>
      <c r="G4" s="3">
        <v>15</v>
      </c>
      <c r="H4" s="3">
        <v>0</v>
      </c>
      <c r="I4" s="3">
        <v>10</v>
      </c>
      <c r="J4" s="3">
        <v>15</v>
      </c>
      <c r="K4" s="3">
        <v>15</v>
      </c>
      <c r="L4" s="4">
        <f t="shared" si="0"/>
        <v>17.5</v>
      </c>
      <c r="M4" s="3">
        <v>5</v>
      </c>
      <c r="N4" s="3">
        <v>20</v>
      </c>
      <c r="O4" s="3">
        <v>50</v>
      </c>
      <c r="P4" s="3">
        <v>25</v>
      </c>
      <c r="Q4" s="3">
        <v>30</v>
      </c>
      <c r="R4" s="3">
        <v>15</v>
      </c>
      <c r="S4" s="3">
        <v>25</v>
      </c>
      <c r="T4" s="3">
        <v>25</v>
      </c>
      <c r="U4" s="3">
        <v>15</v>
      </c>
      <c r="V4" s="3">
        <v>30</v>
      </c>
      <c r="W4" s="4">
        <f t="shared" si="1"/>
        <v>24</v>
      </c>
      <c r="X4" s="3">
        <v>20</v>
      </c>
      <c r="Y4" s="3">
        <v>45</v>
      </c>
      <c r="Z4" s="3">
        <v>20</v>
      </c>
      <c r="AA4" s="3">
        <v>40</v>
      </c>
      <c r="AB4" s="3">
        <v>25</v>
      </c>
      <c r="AC4" s="3">
        <v>40</v>
      </c>
      <c r="AD4" s="3">
        <v>25</v>
      </c>
      <c r="AE4" s="3">
        <v>45</v>
      </c>
      <c r="AF4" s="3">
        <v>25</v>
      </c>
      <c r="AG4" s="3">
        <v>20</v>
      </c>
      <c r="AH4" s="4">
        <f t="shared" si="2"/>
        <v>30.5</v>
      </c>
      <c r="AI4" s="3">
        <v>10</v>
      </c>
      <c r="AJ4" s="3">
        <v>25</v>
      </c>
      <c r="AK4" s="3">
        <v>35</v>
      </c>
      <c r="AL4" s="3">
        <v>45</v>
      </c>
      <c r="AM4" s="3">
        <v>45</v>
      </c>
      <c r="AN4" s="3">
        <v>50</v>
      </c>
      <c r="AO4" s="3">
        <v>20</v>
      </c>
      <c r="AP4" s="3">
        <v>25</v>
      </c>
      <c r="AQ4" s="3">
        <v>40</v>
      </c>
      <c r="AR4" s="3">
        <v>20</v>
      </c>
      <c r="AS4" s="4">
        <f t="shared" si="3"/>
        <v>31.5</v>
      </c>
    </row>
    <row r="5" spans="1:45" x14ac:dyDescent="0.2">
      <c r="A5" s="3" t="s">
        <v>686</v>
      </c>
      <c r="B5" s="3">
        <v>0</v>
      </c>
      <c r="C5" s="3">
        <v>0</v>
      </c>
      <c r="D5" s="3">
        <v>5</v>
      </c>
      <c r="E5" s="3">
        <v>0</v>
      </c>
      <c r="F5" s="3">
        <v>0</v>
      </c>
      <c r="G5" s="3">
        <v>0</v>
      </c>
      <c r="H5" s="3">
        <v>0</v>
      </c>
      <c r="I5" s="3">
        <v>15</v>
      </c>
      <c r="J5" s="3">
        <v>5</v>
      </c>
      <c r="K5" s="3">
        <v>0</v>
      </c>
      <c r="L5" s="4">
        <f t="shared" si="0"/>
        <v>2.5</v>
      </c>
      <c r="M5" s="3">
        <v>5</v>
      </c>
      <c r="N5" s="3">
        <v>0</v>
      </c>
      <c r="O5" s="3">
        <v>5</v>
      </c>
      <c r="P5" s="3">
        <v>0</v>
      </c>
      <c r="Q5" s="3">
        <v>5</v>
      </c>
      <c r="R5" s="3">
        <v>15</v>
      </c>
      <c r="S5" s="3">
        <v>0</v>
      </c>
      <c r="T5" s="3">
        <v>5</v>
      </c>
      <c r="U5" s="3">
        <v>5</v>
      </c>
      <c r="V5" s="3">
        <v>5</v>
      </c>
      <c r="W5" s="4">
        <f t="shared" si="1"/>
        <v>4.5</v>
      </c>
      <c r="X5" s="3">
        <v>0</v>
      </c>
      <c r="Y5" s="3">
        <v>0</v>
      </c>
      <c r="Z5" s="3">
        <v>0</v>
      </c>
      <c r="AA5" s="3">
        <v>0</v>
      </c>
      <c r="AB5" s="3">
        <v>10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1</v>
      </c>
      <c r="AI5" s="3">
        <v>0</v>
      </c>
      <c r="AJ5" s="3">
        <v>0</v>
      </c>
      <c r="AK5" s="3">
        <v>0</v>
      </c>
      <c r="AL5" s="3">
        <v>5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0.5</v>
      </c>
    </row>
    <row r="6" spans="1:45" x14ac:dyDescent="0.2">
      <c r="A6" s="3" t="s">
        <v>685</v>
      </c>
      <c r="B6" s="3">
        <v>15</v>
      </c>
      <c r="C6" s="3">
        <v>20</v>
      </c>
      <c r="D6" s="3">
        <v>20</v>
      </c>
      <c r="E6" s="3">
        <v>5</v>
      </c>
      <c r="F6" s="3">
        <v>15</v>
      </c>
      <c r="G6" s="3">
        <v>5</v>
      </c>
      <c r="H6" s="3">
        <v>15</v>
      </c>
      <c r="I6" s="3">
        <v>5</v>
      </c>
      <c r="J6" s="3">
        <v>15</v>
      </c>
      <c r="K6" s="3">
        <v>5</v>
      </c>
      <c r="L6" s="4">
        <f t="shared" si="0"/>
        <v>12</v>
      </c>
      <c r="M6" s="3">
        <v>10</v>
      </c>
      <c r="N6" s="3">
        <v>10</v>
      </c>
      <c r="O6" s="3">
        <v>10</v>
      </c>
      <c r="P6" s="3">
        <v>5</v>
      </c>
      <c r="Q6" s="3">
        <v>15</v>
      </c>
      <c r="R6" s="3">
        <v>10</v>
      </c>
      <c r="S6" s="3">
        <v>15</v>
      </c>
      <c r="T6" s="3">
        <v>20</v>
      </c>
      <c r="U6" s="3">
        <v>15</v>
      </c>
      <c r="V6" s="3">
        <v>15</v>
      </c>
      <c r="W6" s="4">
        <f t="shared" si="1"/>
        <v>12.5</v>
      </c>
      <c r="X6" s="3">
        <v>10</v>
      </c>
      <c r="Y6" s="3">
        <v>5</v>
      </c>
      <c r="Z6" s="3">
        <v>10</v>
      </c>
      <c r="AA6" s="3">
        <v>20</v>
      </c>
      <c r="AB6" s="3">
        <v>5</v>
      </c>
      <c r="AC6" s="3">
        <v>10</v>
      </c>
      <c r="AD6" s="3">
        <v>10</v>
      </c>
      <c r="AE6" s="3">
        <v>5</v>
      </c>
      <c r="AF6" s="3">
        <v>10</v>
      </c>
      <c r="AG6" s="3">
        <v>10</v>
      </c>
      <c r="AH6" s="4">
        <f t="shared" si="2"/>
        <v>9.5</v>
      </c>
      <c r="AI6" s="3">
        <v>10</v>
      </c>
      <c r="AJ6" s="3">
        <v>10</v>
      </c>
      <c r="AK6" s="3">
        <v>0</v>
      </c>
      <c r="AL6" s="3">
        <v>0</v>
      </c>
      <c r="AM6" s="3">
        <v>0</v>
      </c>
      <c r="AN6" s="3">
        <v>10</v>
      </c>
      <c r="AO6" s="3">
        <v>15</v>
      </c>
      <c r="AP6" s="3">
        <v>5</v>
      </c>
      <c r="AQ6" s="3">
        <v>10</v>
      </c>
      <c r="AR6" s="3">
        <v>5</v>
      </c>
      <c r="AS6" s="4">
        <f t="shared" si="3"/>
        <v>6.5</v>
      </c>
    </row>
    <row r="7" spans="1:45" x14ac:dyDescent="0.2">
      <c r="A7" t="s">
        <v>689</v>
      </c>
      <c r="B7">
        <v>15</v>
      </c>
      <c r="C7">
        <v>5</v>
      </c>
      <c r="D7">
        <v>10</v>
      </c>
      <c r="E7">
        <v>10</v>
      </c>
      <c r="F7">
        <v>10</v>
      </c>
      <c r="G7">
        <v>5</v>
      </c>
      <c r="H7">
        <v>10</v>
      </c>
      <c r="I7">
        <v>20</v>
      </c>
      <c r="J7">
        <v>5</v>
      </c>
      <c r="K7">
        <v>10</v>
      </c>
      <c r="L7" s="4">
        <f t="shared" si="0"/>
        <v>10</v>
      </c>
      <c r="M7">
        <v>5</v>
      </c>
      <c r="N7">
        <v>5</v>
      </c>
      <c r="O7">
        <v>5</v>
      </c>
      <c r="P7">
        <v>5</v>
      </c>
      <c r="Q7">
        <v>0</v>
      </c>
      <c r="R7">
        <v>5</v>
      </c>
      <c r="S7">
        <v>5</v>
      </c>
      <c r="T7">
        <v>5</v>
      </c>
      <c r="U7">
        <v>5</v>
      </c>
      <c r="V7">
        <v>0</v>
      </c>
      <c r="W7" s="1">
        <f t="shared" si="1"/>
        <v>4</v>
      </c>
      <c r="X7">
        <v>15</v>
      </c>
      <c r="Y7">
        <v>15</v>
      </c>
      <c r="Z7">
        <v>15</v>
      </c>
      <c r="AA7">
        <v>10</v>
      </c>
      <c r="AB7">
        <v>10</v>
      </c>
      <c r="AC7">
        <v>15</v>
      </c>
      <c r="AD7">
        <v>20</v>
      </c>
      <c r="AE7">
        <v>10</v>
      </c>
      <c r="AF7">
        <v>15</v>
      </c>
      <c r="AG7">
        <v>10</v>
      </c>
      <c r="AH7" s="1">
        <f t="shared" si="2"/>
        <v>13.5</v>
      </c>
      <c r="AI7">
        <v>20</v>
      </c>
      <c r="AJ7">
        <v>15</v>
      </c>
      <c r="AK7">
        <v>30</v>
      </c>
      <c r="AL7">
        <v>10</v>
      </c>
      <c r="AM7">
        <v>10</v>
      </c>
      <c r="AN7">
        <v>5</v>
      </c>
      <c r="AO7">
        <v>15</v>
      </c>
      <c r="AP7">
        <v>20</v>
      </c>
      <c r="AQ7">
        <v>10</v>
      </c>
      <c r="AR7">
        <v>25</v>
      </c>
      <c r="AS7" s="1">
        <f t="shared" si="3"/>
        <v>16</v>
      </c>
    </row>
    <row r="8" spans="1:45" x14ac:dyDescent="0.2">
      <c r="A8" s="18" t="s">
        <v>690</v>
      </c>
      <c r="B8" s="18">
        <v>10</v>
      </c>
      <c r="C8" s="18">
        <v>5</v>
      </c>
      <c r="D8" s="18">
        <v>5</v>
      </c>
      <c r="E8" s="18">
        <v>15</v>
      </c>
      <c r="F8" s="18">
        <v>10</v>
      </c>
      <c r="G8" s="18">
        <v>20</v>
      </c>
      <c r="H8" s="18">
        <v>10</v>
      </c>
      <c r="I8" s="18">
        <v>5</v>
      </c>
      <c r="J8" s="18">
        <v>25</v>
      </c>
      <c r="K8" s="18">
        <v>20</v>
      </c>
      <c r="L8" s="17">
        <f t="shared" si="0"/>
        <v>12.5</v>
      </c>
      <c r="M8" s="18">
        <v>10</v>
      </c>
      <c r="N8" s="18">
        <v>10</v>
      </c>
      <c r="O8" s="18">
        <v>5</v>
      </c>
      <c r="P8" s="18">
        <v>10</v>
      </c>
      <c r="Q8" s="18">
        <v>10</v>
      </c>
      <c r="R8" s="18">
        <v>5</v>
      </c>
      <c r="S8" s="18">
        <v>5</v>
      </c>
      <c r="T8" s="18">
        <v>5</v>
      </c>
      <c r="U8" s="18">
        <v>15</v>
      </c>
      <c r="V8" s="18">
        <v>10</v>
      </c>
      <c r="W8" s="19">
        <f t="shared" si="1"/>
        <v>8.5</v>
      </c>
      <c r="X8" s="18">
        <v>20</v>
      </c>
      <c r="Y8" s="18">
        <v>15</v>
      </c>
      <c r="Z8" s="18">
        <v>10</v>
      </c>
      <c r="AA8" s="18">
        <v>10</v>
      </c>
      <c r="AB8" s="18">
        <v>20</v>
      </c>
      <c r="AC8" s="18">
        <v>15</v>
      </c>
      <c r="AD8" s="18">
        <v>15</v>
      </c>
      <c r="AE8" s="18">
        <v>15</v>
      </c>
      <c r="AF8" s="18">
        <v>15</v>
      </c>
      <c r="AG8" s="18">
        <v>20</v>
      </c>
      <c r="AH8" s="19">
        <f t="shared" si="2"/>
        <v>15.5</v>
      </c>
      <c r="AI8" s="18">
        <v>15</v>
      </c>
      <c r="AJ8" s="18">
        <v>15</v>
      </c>
      <c r="AK8" s="18">
        <v>5</v>
      </c>
      <c r="AL8" s="18">
        <v>15</v>
      </c>
      <c r="AM8" s="18">
        <v>20</v>
      </c>
      <c r="AN8" s="18">
        <v>15</v>
      </c>
      <c r="AO8" s="18">
        <v>20</v>
      </c>
      <c r="AP8" s="18">
        <v>10</v>
      </c>
      <c r="AQ8" s="18">
        <v>10</v>
      </c>
      <c r="AR8" s="18">
        <v>5</v>
      </c>
      <c r="AS8" s="19">
        <f t="shared" si="3"/>
        <v>13</v>
      </c>
    </row>
    <row r="9" spans="1:45" x14ac:dyDescent="0.2">
      <c r="B9">
        <f t="shared" ref="B9:AS9" si="4">SUM(B2:B8)</f>
        <v>100</v>
      </c>
      <c r="C9">
        <f t="shared" si="4"/>
        <v>100</v>
      </c>
      <c r="D9">
        <f t="shared" si="4"/>
        <v>100</v>
      </c>
      <c r="E9">
        <f t="shared" si="4"/>
        <v>100</v>
      </c>
      <c r="F9">
        <f t="shared" si="4"/>
        <v>100</v>
      </c>
      <c r="G9">
        <f t="shared" si="4"/>
        <v>100</v>
      </c>
      <c r="H9">
        <f t="shared" si="4"/>
        <v>100</v>
      </c>
      <c r="I9">
        <f t="shared" si="4"/>
        <v>100</v>
      </c>
      <c r="J9">
        <f t="shared" si="4"/>
        <v>100</v>
      </c>
      <c r="K9">
        <f t="shared" si="4"/>
        <v>100</v>
      </c>
      <c r="L9" s="1">
        <f t="shared" si="4"/>
        <v>100</v>
      </c>
      <c r="M9">
        <f t="shared" si="4"/>
        <v>100</v>
      </c>
      <c r="N9">
        <f t="shared" si="4"/>
        <v>100</v>
      </c>
      <c r="O9">
        <f t="shared" si="4"/>
        <v>100</v>
      </c>
      <c r="P9">
        <f t="shared" si="4"/>
        <v>100</v>
      </c>
      <c r="Q9">
        <f t="shared" si="4"/>
        <v>100</v>
      </c>
      <c r="R9">
        <f t="shared" si="4"/>
        <v>100</v>
      </c>
      <c r="S9">
        <f t="shared" si="4"/>
        <v>100</v>
      </c>
      <c r="T9">
        <f t="shared" si="4"/>
        <v>100</v>
      </c>
      <c r="U9">
        <f t="shared" si="4"/>
        <v>100</v>
      </c>
      <c r="V9">
        <f t="shared" si="4"/>
        <v>100</v>
      </c>
      <c r="W9" s="1">
        <f t="shared" si="4"/>
        <v>100</v>
      </c>
      <c r="X9">
        <f t="shared" si="4"/>
        <v>100</v>
      </c>
      <c r="Y9">
        <f t="shared" si="4"/>
        <v>100</v>
      </c>
      <c r="Z9">
        <f t="shared" si="4"/>
        <v>100</v>
      </c>
      <c r="AA9">
        <f t="shared" si="4"/>
        <v>100</v>
      </c>
      <c r="AB9">
        <f t="shared" si="4"/>
        <v>100</v>
      </c>
      <c r="AC9">
        <f t="shared" si="4"/>
        <v>100</v>
      </c>
      <c r="AD9">
        <f t="shared" si="4"/>
        <v>100</v>
      </c>
      <c r="AE9">
        <f t="shared" si="4"/>
        <v>100</v>
      </c>
      <c r="AF9">
        <f t="shared" si="4"/>
        <v>100</v>
      </c>
      <c r="AG9">
        <f t="shared" si="4"/>
        <v>100</v>
      </c>
      <c r="AH9" s="1">
        <f t="shared" si="4"/>
        <v>100</v>
      </c>
      <c r="AI9">
        <f t="shared" si="4"/>
        <v>100</v>
      </c>
      <c r="AJ9">
        <f t="shared" si="4"/>
        <v>100</v>
      </c>
      <c r="AK9">
        <f t="shared" si="4"/>
        <v>100</v>
      </c>
      <c r="AL9">
        <f t="shared" si="4"/>
        <v>100</v>
      </c>
      <c r="AM9">
        <f t="shared" si="4"/>
        <v>100</v>
      </c>
      <c r="AN9">
        <f t="shared" si="4"/>
        <v>100</v>
      </c>
      <c r="AO9">
        <f t="shared" si="4"/>
        <v>100</v>
      </c>
      <c r="AP9">
        <f t="shared" si="4"/>
        <v>100</v>
      </c>
      <c r="AQ9">
        <f t="shared" si="4"/>
        <v>100</v>
      </c>
      <c r="AR9">
        <f t="shared" si="4"/>
        <v>100</v>
      </c>
      <c r="AS9" s="1">
        <f t="shared" si="4"/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1"/>
  <sheetViews>
    <sheetView zoomScale="64" zoomScaleNormal="64" workbookViewId="0">
      <pane xSplit="1" topLeftCell="B1" activePane="topRight" state="frozen"/>
      <selection activeCell="H18" sqref="H18"/>
      <selection pane="topRight" activeCell="B12" sqref="B12"/>
    </sheetView>
  </sheetViews>
  <sheetFormatPr defaultRowHeight="12.75" x14ac:dyDescent="0.2"/>
  <cols>
    <col min="1" max="1" width="12.28515625" customWidth="1"/>
    <col min="12" max="12" width="9.5703125" bestFit="1" customWidth="1"/>
  </cols>
  <sheetData>
    <row r="1" spans="1:45" s="4" customFormat="1" x14ac:dyDescent="0.2">
      <c r="A1" s="4" t="s">
        <v>0</v>
      </c>
      <c r="B1" s="6" t="s">
        <v>525</v>
      </c>
      <c r="C1" s="6" t="s">
        <v>526</v>
      </c>
      <c r="D1" s="6" t="s">
        <v>527</v>
      </c>
      <c r="E1" s="6" t="s">
        <v>528</v>
      </c>
      <c r="F1" s="6" t="s">
        <v>529</v>
      </c>
      <c r="G1" s="6" t="s">
        <v>530</v>
      </c>
      <c r="H1" s="6" t="s">
        <v>531</v>
      </c>
      <c r="I1" s="6" t="s">
        <v>532</v>
      </c>
      <c r="J1" s="6" t="s">
        <v>533</v>
      </c>
      <c r="K1" s="6" t="s">
        <v>534</v>
      </c>
      <c r="L1" s="6"/>
      <c r="M1" s="6" t="s">
        <v>535</v>
      </c>
      <c r="N1" s="6" t="s">
        <v>536</v>
      </c>
      <c r="O1" s="6" t="s">
        <v>537</v>
      </c>
      <c r="P1" s="6" t="s">
        <v>538</v>
      </c>
      <c r="Q1" s="6" t="s">
        <v>539</v>
      </c>
      <c r="R1" s="6" t="s">
        <v>540</v>
      </c>
      <c r="S1" s="6" t="s">
        <v>541</v>
      </c>
      <c r="T1" s="6" t="s">
        <v>542</v>
      </c>
      <c r="U1" s="6" t="s">
        <v>543</v>
      </c>
      <c r="V1" s="6" t="s">
        <v>544</v>
      </c>
      <c r="W1" s="6"/>
      <c r="X1" s="6" t="s">
        <v>545</v>
      </c>
      <c r="Y1" s="6" t="s">
        <v>546</v>
      </c>
      <c r="Z1" s="6" t="s">
        <v>547</v>
      </c>
      <c r="AA1" s="6" t="s">
        <v>548</v>
      </c>
      <c r="AB1" s="6" t="s">
        <v>549</v>
      </c>
      <c r="AC1" s="6" t="s">
        <v>550</v>
      </c>
      <c r="AD1" s="6" t="s">
        <v>551</v>
      </c>
      <c r="AE1" s="6" t="s">
        <v>552</v>
      </c>
      <c r="AF1" s="6" t="s">
        <v>553</v>
      </c>
      <c r="AG1" s="6" t="s">
        <v>554</v>
      </c>
      <c r="AH1" s="6"/>
      <c r="AI1" s="6" t="s">
        <v>555</v>
      </c>
      <c r="AJ1" s="6" t="s">
        <v>556</v>
      </c>
      <c r="AK1" s="6" t="s">
        <v>557</v>
      </c>
      <c r="AL1" s="6" t="s">
        <v>558</v>
      </c>
      <c r="AM1" s="6" t="s">
        <v>559</v>
      </c>
      <c r="AN1" s="6" t="s">
        <v>560</v>
      </c>
      <c r="AO1" s="6" t="s">
        <v>561</v>
      </c>
      <c r="AP1" s="6" t="s">
        <v>562</v>
      </c>
      <c r="AQ1" s="6" t="s">
        <v>563</v>
      </c>
      <c r="AR1" s="6" t="s">
        <v>564</v>
      </c>
    </row>
    <row r="2" spans="1:45" s="3" customFormat="1" x14ac:dyDescent="0.2">
      <c r="A2" s="3" t="s">
        <v>1</v>
      </c>
      <c r="B2" s="3">
        <v>5</v>
      </c>
      <c r="C2" s="3">
        <v>5</v>
      </c>
      <c r="D2" s="3">
        <v>0</v>
      </c>
      <c r="E2" s="3">
        <v>5</v>
      </c>
      <c r="F2" s="3">
        <v>5</v>
      </c>
      <c r="G2" s="3">
        <v>0</v>
      </c>
      <c r="H2" s="3">
        <v>5</v>
      </c>
      <c r="I2" s="3">
        <v>0</v>
      </c>
      <c r="J2" s="3">
        <v>0</v>
      </c>
      <c r="K2" s="3">
        <v>0</v>
      </c>
      <c r="L2" s="4">
        <f t="shared" ref="L2:L8" si="0">AVERAGE(B2:K2)</f>
        <v>2.5</v>
      </c>
      <c r="M2" s="3">
        <v>35</v>
      </c>
      <c r="N2" s="3">
        <v>30</v>
      </c>
      <c r="O2" s="3">
        <v>15</v>
      </c>
      <c r="P2" s="3">
        <v>10</v>
      </c>
      <c r="Q2" s="3">
        <v>15</v>
      </c>
      <c r="R2" s="3">
        <v>10</v>
      </c>
      <c r="S2" s="3">
        <v>10</v>
      </c>
      <c r="T2" s="3">
        <v>10</v>
      </c>
      <c r="U2" s="3">
        <v>25</v>
      </c>
      <c r="V2" s="3">
        <v>40</v>
      </c>
      <c r="W2" s="4">
        <f t="shared" ref="W2:W8" si="1">AVERAGE(M2:V2)</f>
        <v>20</v>
      </c>
      <c r="X2" s="3">
        <v>10</v>
      </c>
      <c r="Y2" s="3">
        <v>50</v>
      </c>
      <c r="Z2" s="3">
        <v>30</v>
      </c>
      <c r="AA2" s="3">
        <v>15</v>
      </c>
      <c r="AB2" s="3">
        <v>50</v>
      </c>
      <c r="AC2" s="3">
        <v>10</v>
      </c>
      <c r="AD2" s="3">
        <v>50</v>
      </c>
      <c r="AE2" s="3">
        <v>45</v>
      </c>
      <c r="AF2" s="3">
        <v>20</v>
      </c>
      <c r="AG2" s="3">
        <v>30</v>
      </c>
      <c r="AH2" s="4">
        <f t="shared" ref="AH2:AH8" si="2">AVERAGE(X2:AG2)</f>
        <v>31</v>
      </c>
      <c r="AI2" s="3">
        <v>25</v>
      </c>
      <c r="AJ2" s="3">
        <v>35</v>
      </c>
      <c r="AK2" s="3">
        <v>35</v>
      </c>
      <c r="AL2" s="3">
        <v>15</v>
      </c>
      <c r="AM2" s="3">
        <v>10</v>
      </c>
      <c r="AN2" s="3">
        <v>15</v>
      </c>
      <c r="AO2" s="3">
        <v>10</v>
      </c>
      <c r="AP2" s="3">
        <v>5</v>
      </c>
      <c r="AQ2" s="3">
        <v>15</v>
      </c>
      <c r="AR2" s="3">
        <v>5</v>
      </c>
      <c r="AS2" s="4">
        <f t="shared" ref="AS2:AS8" si="3">AVERAGE(AI2:AR2)</f>
        <v>17</v>
      </c>
    </row>
    <row r="3" spans="1:45" s="3" customFormat="1" x14ac:dyDescent="0.2">
      <c r="A3" s="3" t="s">
        <v>2</v>
      </c>
      <c r="B3" s="3">
        <v>45</v>
      </c>
      <c r="C3" s="3">
        <v>35</v>
      </c>
      <c r="D3" s="3">
        <v>30</v>
      </c>
      <c r="E3" s="3">
        <v>55</v>
      </c>
      <c r="F3" s="3">
        <v>60</v>
      </c>
      <c r="G3" s="3">
        <v>45</v>
      </c>
      <c r="H3" s="3">
        <v>50</v>
      </c>
      <c r="I3" s="3">
        <v>20</v>
      </c>
      <c r="J3" s="3">
        <v>15</v>
      </c>
      <c r="K3" s="3">
        <v>50</v>
      </c>
      <c r="L3" s="4">
        <f t="shared" si="0"/>
        <v>40.5</v>
      </c>
      <c r="M3" s="3">
        <v>10</v>
      </c>
      <c r="N3" s="3">
        <v>10</v>
      </c>
      <c r="O3" s="3">
        <v>10</v>
      </c>
      <c r="P3" s="3">
        <v>5</v>
      </c>
      <c r="Q3" s="3">
        <v>10</v>
      </c>
      <c r="R3" s="3">
        <v>5</v>
      </c>
      <c r="S3" s="3">
        <v>10</v>
      </c>
      <c r="T3" s="3">
        <v>10</v>
      </c>
      <c r="U3" s="3">
        <v>5</v>
      </c>
      <c r="V3" s="3">
        <v>15</v>
      </c>
      <c r="W3" s="4">
        <f t="shared" si="1"/>
        <v>9</v>
      </c>
      <c r="X3" s="3">
        <v>10</v>
      </c>
      <c r="Y3" s="3">
        <v>5</v>
      </c>
      <c r="Z3" s="3">
        <v>5</v>
      </c>
      <c r="AA3" s="3">
        <v>5</v>
      </c>
      <c r="AB3" s="3">
        <v>10</v>
      </c>
      <c r="AC3" s="3">
        <v>15</v>
      </c>
      <c r="AD3" s="3">
        <v>5</v>
      </c>
      <c r="AE3" s="3">
        <v>5</v>
      </c>
      <c r="AF3" s="3">
        <v>25</v>
      </c>
      <c r="AG3" s="3">
        <v>10</v>
      </c>
      <c r="AH3" s="4">
        <f t="shared" si="2"/>
        <v>9.5</v>
      </c>
      <c r="AI3" s="3">
        <v>15</v>
      </c>
      <c r="AJ3" s="3">
        <v>20</v>
      </c>
      <c r="AK3" s="3">
        <v>10</v>
      </c>
      <c r="AL3" s="3">
        <v>25</v>
      </c>
      <c r="AM3" s="3">
        <v>15</v>
      </c>
      <c r="AN3" s="3">
        <v>55</v>
      </c>
      <c r="AO3" s="3">
        <v>15</v>
      </c>
      <c r="AP3" s="3">
        <v>25</v>
      </c>
      <c r="AQ3" s="3">
        <v>35</v>
      </c>
      <c r="AR3" s="3">
        <v>25</v>
      </c>
      <c r="AS3" s="4">
        <f t="shared" si="3"/>
        <v>24</v>
      </c>
    </row>
    <row r="4" spans="1:45" s="3" customFormat="1" x14ac:dyDescent="0.2">
      <c r="A4" s="3" t="s">
        <v>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4">
        <f t="shared" si="0"/>
        <v>0</v>
      </c>
      <c r="M4" s="3">
        <v>0</v>
      </c>
      <c r="N4" s="3">
        <v>5</v>
      </c>
      <c r="O4" s="3">
        <v>35</v>
      </c>
      <c r="P4" s="3">
        <v>20</v>
      </c>
      <c r="Q4" s="3">
        <v>0</v>
      </c>
      <c r="R4" s="3">
        <v>5</v>
      </c>
      <c r="S4" s="3">
        <v>5</v>
      </c>
      <c r="T4" s="3">
        <v>30</v>
      </c>
      <c r="U4" s="3">
        <v>20</v>
      </c>
      <c r="V4" s="3">
        <v>0</v>
      </c>
      <c r="W4" s="4">
        <f t="shared" si="1"/>
        <v>12</v>
      </c>
      <c r="X4" s="3">
        <v>40</v>
      </c>
      <c r="Y4" s="3">
        <v>25</v>
      </c>
      <c r="Z4" s="3">
        <v>0</v>
      </c>
      <c r="AA4" s="3">
        <v>5</v>
      </c>
      <c r="AB4" s="3">
        <v>5</v>
      </c>
      <c r="AC4" s="3">
        <v>15</v>
      </c>
      <c r="AD4" s="3">
        <v>5</v>
      </c>
      <c r="AE4" s="3">
        <v>5</v>
      </c>
      <c r="AF4" s="3">
        <v>5</v>
      </c>
      <c r="AG4" s="3">
        <v>5</v>
      </c>
      <c r="AH4" s="4">
        <f t="shared" si="2"/>
        <v>11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4">
        <f t="shared" si="3"/>
        <v>0</v>
      </c>
    </row>
    <row r="5" spans="1:45" s="3" customFormat="1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s="3" customFormat="1" x14ac:dyDescent="0.2">
      <c r="A6" s="3" t="s">
        <v>685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5</v>
      </c>
      <c r="H6" s="3">
        <v>0</v>
      </c>
      <c r="I6" s="3">
        <v>0</v>
      </c>
      <c r="J6" s="3">
        <v>0</v>
      </c>
      <c r="K6" s="3">
        <v>5</v>
      </c>
      <c r="L6" s="4">
        <f t="shared" si="0"/>
        <v>1</v>
      </c>
      <c r="M6" s="3">
        <v>25</v>
      </c>
      <c r="N6" s="3">
        <v>55</v>
      </c>
      <c r="O6" s="3">
        <v>25</v>
      </c>
      <c r="P6" s="3">
        <v>55</v>
      </c>
      <c r="Q6" s="3">
        <v>75</v>
      </c>
      <c r="R6" s="3">
        <v>80</v>
      </c>
      <c r="S6" s="3">
        <v>70</v>
      </c>
      <c r="T6" s="3">
        <v>25</v>
      </c>
      <c r="U6" s="3">
        <v>50</v>
      </c>
      <c r="V6" s="3">
        <v>15</v>
      </c>
      <c r="W6" s="4">
        <f t="shared" si="1"/>
        <v>47.5</v>
      </c>
      <c r="X6" s="3">
        <v>35</v>
      </c>
      <c r="Y6" s="3">
        <v>15</v>
      </c>
      <c r="Z6" s="3">
        <v>60</v>
      </c>
      <c r="AA6" s="3">
        <v>65</v>
      </c>
      <c r="AB6" s="3">
        <v>10</v>
      </c>
      <c r="AC6" s="3">
        <v>60</v>
      </c>
      <c r="AD6" s="3">
        <v>20</v>
      </c>
      <c r="AE6" s="3">
        <v>35</v>
      </c>
      <c r="AF6" s="3">
        <v>40</v>
      </c>
      <c r="AG6" s="3">
        <v>15</v>
      </c>
      <c r="AH6" s="4">
        <f t="shared" si="2"/>
        <v>35.5</v>
      </c>
      <c r="AI6" s="3">
        <v>50</v>
      </c>
      <c r="AJ6" s="3">
        <v>45</v>
      </c>
      <c r="AK6" s="3">
        <v>50</v>
      </c>
      <c r="AL6" s="3">
        <v>55</v>
      </c>
      <c r="AM6" s="3">
        <v>50</v>
      </c>
      <c r="AN6" s="3">
        <v>25</v>
      </c>
      <c r="AO6" s="3">
        <v>65</v>
      </c>
      <c r="AP6" s="3">
        <v>60</v>
      </c>
      <c r="AQ6" s="3">
        <v>45</v>
      </c>
      <c r="AR6" s="3">
        <v>60</v>
      </c>
      <c r="AS6" s="4">
        <f t="shared" si="3"/>
        <v>50.5</v>
      </c>
    </row>
    <row r="7" spans="1:45" s="3" customFormat="1" x14ac:dyDescent="0.2">
      <c r="A7" s="3" t="s">
        <v>688</v>
      </c>
      <c r="B7" s="3">
        <v>20</v>
      </c>
      <c r="C7" s="3">
        <v>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4">
        <f t="shared" si="0"/>
        <v>2.5</v>
      </c>
      <c r="M7" s="3">
        <v>25</v>
      </c>
      <c r="N7" s="3">
        <v>0</v>
      </c>
      <c r="O7" s="3">
        <v>15</v>
      </c>
      <c r="P7" s="3">
        <v>10</v>
      </c>
      <c r="Q7" s="3">
        <v>0</v>
      </c>
      <c r="R7" s="3">
        <v>0</v>
      </c>
      <c r="S7" s="3">
        <v>5</v>
      </c>
      <c r="T7" s="3">
        <v>10</v>
      </c>
      <c r="U7" s="3">
        <v>0</v>
      </c>
      <c r="V7" s="3">
        <v>20</v>
      </c>
      <c r="W7" s="4">
        <f t="shared" si="1"/>
        <v>8.5</v>
      </c>
      <c r="X7" s="3">
        <v>5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5</v>
      </c>
      <c r="AE7" s="3">
        <v>0</v>
      </c>
      <c r="AF7" s="3">
        <v>0</v>
      </c>
      <c r="AG7" s="3">
        <v>5</v>
      </c>
      <c r="AH7" s="4">
        <f t="shared" si="2"/>
        <v>1.5</v>
      </c>
      <c r="AI7" s="3">
        <v>5</v>
      </c>
      <c r="AJ7" s="3">
        <v>0</v>
      </c>
      <c r="AK7" s="3">
        <v>0</v>
      </c>
      <c r="AL7" s="3">
        <v>0</v>
      </c>
      <c r="AM7" s="3">
        <v>0</v>
      </c>
      <c r="AN7" s="3">
        <v>5</v>
      </c>
      <c r="AO7" s="3">
        <v>5</v>
      </c>
      <c r="AP7" s="3">
        <v>0</v>
      </c>
      <c r="AQ7" s="3">
        <v>0</v>
      </c>
      <c r="AR7" s="3">
        <v>5</v>
      </c>
      <c r="AS7" s="4">
        <f t="shared" si="3"/>
        <v>2</v>
      </c>
    </row>
    <row r="8" spans="1:45" s="3" customFormat="1" x14ac:dyDescent="0.2">
      <c r="A8" s="16" t="s">
        <v>690</v>
      </c>
      <c r="B8" s="16">
        <v>30</v>
      </c>
      <c r="C8" s="16">
        <v>55</v>
      </c>
      <c r="D8" s="16">
        <v>70</v>
      </c>
      <c r="E8" s="16">
        <v>40</v>
      </c>
      <c r="F8" s="16">
        <v>35</v>
      </c>
      <c r="G8" s="16">
        <v>50</v>
      </c>
      <c r="H8" s="16">
        <v>45</v>
      </c>
      <c r="I8" s="16">
        <v>80</v>
      </c>
      <c r="J8" s="16">
        <v>85</v>
      </c>
      <c r="K8" s="16">
        <v>45</v>
      </c>
      <c r="L8" s="17">
        <f t="shared" si="0"/>
        <v>53.5</v>
      </c>
      <c r="M8" s="16">
        <v>5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15</v>
      </c>
      <c r="U8" s="16">
        <v>0</v>
      </c>
      <c r="V8" s="16">
        <v>10</v>
      </c>
      <c r="W8" s="17">
        <f t="shared" si="1"/>
        <v>3</v>
      </c>
      <c r="X8" s="16">
        <v>0</v>
      </c>
      <c r="Y8" s="16">
        <v>5</v>
      </c>
      <c r="Z8" s="16">
        <v>5</v>
      </c>
      <c r="AA8" s="16">
        <v>10</v>
      </c>
      <c r="AB8" s="16">
        <v>25</v>
      </c>
      <c r="AC8" s="16">
        <v>0</v>
      </c>
      <c r="AD8" s="16">
        <v>15</v>
      </c>
      <c r="AE8" s="16">
        <v>10</v>
      </c>
      <c r="AF8" s="16">
        <v>10</v>
      </c>
      <c r="AG8" s="16">
        <v>35</v>
      </c>
      <c r="AH8" s="17">
        <f t="shared" si="2"/>
        <v>11.5</v>
      </c>
      <c r="AI8" s="16">
        <v>5</v>
      </c>
      <c r="AJ8" s="16">
        <v>0</v>
      </c>
      <c r="AK8" s="16">
        <v>5</v>
      </c>
      <c r="AL8" s="16">
        <v>5</v>
      </c>
      <c r="AM8" s="16">
        <v>25</v>
      </c>
      <c r="AN8" s="16">
        <v>0</v>
      </c>
      <c r="AO8" s="16">
        <v>5</v>
      </c>
      <c r="AP8" s="16">
        <v>10</v>
      </c>
      <c r="AQ8" s="16">
        <v>5</v>
      </c>
      <c r="AR8" s="16">
        <v>5</v>
      </c>
      <c r="AS8" s="17">
        <f t="shared" si="3"/>
        <v>6.5</v>
      </c>
    </row>
    <row r="9" spans="1:45" s="3" customFormat="1" x14ac:dyDescent="0.2">
      <c r="B9" s="3">
        <f t="shared" ref="B9:AS9" si="4">SUM(B2:B8)</f>
        <v>100</v>
      </c>
      <c r="C9" s="3">
        <f t="shared" si="4"/>
        <v>100</v>
      </c>
      <c r="D9" s="3">
        <f t="shared" si="4"/>
        <v>100</v>
      </c>
      <c r="E9" s="3">
        <f t="shared" si="4"/>
        <v>100</v>
      </c>
      <c r="F9" s="3">
        <f t="shared" si="4"/>
        <v>100</v>
      </c>
      <c r="G9" s="3">
        <f t="shared" si="4"/>
        <v>100</v>
      </c>
      <c r="H9" s="3">
        <f t="shared" si="4"/>
        <v>100</v>
      </c>
      <c r="I9" s="3">
        <f t="shared" si="4"/>
        <v>100</v>
      </c>
      <c r="J9" s="3">
        <f t="shared" si="4"/>
        <v>100</v>
      </c>
      <c r="K9" s="3">
        <f t="shared" si="4"/>
        <v>100</v>
      </c>
      <c r="L9" s="4">
        <f t="shared" si="4"/>
        <v>100</v>
      </c>
      <c r="M9" s="3">
        <f t="shared" si="4"/>
        <v>100</v>
      </c>
      <c r="N9" s="3">
        <f t="shared" si="4"/>
        <v>100</v>
      </c>
      <c r="O9" s="3">
        <f t="shared" si="4"/>
        <v>100</v>
      </c>
      <c r="P9" s="3">
        <f t="shared" si="4"/>
        <v>100</v>
      </c>
      <c r="Q9" s="3">
        <f t="shared" si="4"/>
        <v>100</v>
      </c>
      <c r="R9" s="3">
        <f t="shared" si="4"/>
        <v>100</v>
      </c>
      <c r="S9" s="3">
        <f t="shared" si="4"/>
        <v>100</v>
      </c>
      <c r="T9" s="3">
        <f t="shared" si="4"/>
        <v>100</v>
      </c>
      <c r="U9" s="3">
        <f t="shared" si="4"/>
        <v>100</v>
      </c>
      <c r="V9" s="7">
        <f t="shared" si="4"/>
        <v>100</v>
      </c>
      <c r="W9" s="8">
        <f t="shared" si="4"/>
        <v>100</v>
      </c>
      <c r="X9" s="3">
        <f t="shared" si="4"/>
        <v>100</v>
      </c>
      <c r="Y9" s="3">
        <f t="shared" si="4"/>
        <v>100</v>
      </c>
      <c r="Z9" s="3">
        <f t="shared" si="4"/>
        <v>100</v>
      </c>
      <c r="AA9" s="3">
        <f t="shared" si="4"/>
        <v>100</v>
      </c>
      <c r="AB9" s="3">
        <f t="shared" si="4"/>
        <v>100</v>
      </c>
      <c r="AC9" s="3">
        <f t="shared" si="4"/>
        <v>100</v>
      </c>
      <c r="AD9" s="3">
        <f t="shared" si="4"/>
        <v>100</v>
      </c>
      <c r="AE9" s="3">
        <f t="shared" si="4"/>
        <v>100</v>
      </c>
      <c r="AF9" s="3">
        <f t="shared" si="4"/>
        <v>100</v>
      </c>
      <c r="AG9" s="3">
        <f t="shared" si="4"/>
        <v>100</v>
      </c>
      <c r="AH9" s="4">
        <f t="shared" si="4"/>
        <v>100</v>
      </c>
      <c r="AI9" s="3">
        <f t="shared" si="4"/>
        <v>100</v>
      </c>
      <c r="AJ9" s="3">
        <f t="shared" si="4"/>
        <v>100</v>
      </c>
      <c r="AK9" s="3">
        <f t="shared" si="4"/>
        <v>100</v>
      </c>
      <c r="AL9" s="3">
        <f t="shared" si="4"/>
        <v>100</v>
      </c>
      <c r="AM9" s="3">
        <f t="shared" si="4"/>
        <v>100</v>
      </c>
      <c r="AN9" s="3">
        <f t="shared" si="4"/>
        <v>100</v>
      </c>
      <c r="AO9" s="3">
        <f t="shared" si="4"/>
        <v>100</v>
      </c>
      <c r="AP9" s="3">
        <f t="shared" si="4"/>
        <v>100</v>
      </c>
      <c r="AQ9" s="3">
        <f t="shared" si="4"/>
        <v>100</v>
      </c>
      <c r="AR9" s="3">
        <f t="shared" si="4"/>
        <v>100</v>
      </c>
      <c r="AS9" s="4">
        <f t="shared" si="4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  <row r="16" spans="1:45" s="3" customFormat="1" x14ac:dyDescent="0.2"/>
    <row r="17" s="3" customFormat="1" x14ac:dyDescent="0.2"/>
    <row r="18" s="3" customFormat="1" x14ac:dyDescent="0.2"/>
    <row r="19" s="3" customFormat="1" x14ac:dyDescent="0.2"/>
    <row r="20" s="3" customFormat="1" x14ac:dyDescent="0.2"/>
    <row r="21" s="3" customFormat="1" x14ac:dyDescent="0.2"/>
  </sheetData>
  <phoneticPr fontId="0" type="noConversion"/>
  <pageMargins left="0.75" right="0.75" top="1" bottom="1" header="0.5" footer="0.5"/>
  <pageSetup paperSize="9" orientation="portrait" horizont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"/>
  <sheetViews>
    <sheetView zoomScale="64" zoomScaleNormal="64" workbookViewId="0">
      <pane xSplit="1" topLeftCell="B1" activePane="topRight" state="frozen"/>
      <selection activeCell="H18" sqref="H18"/>
      <selection pane="topRight" activeCell="C14" sqref="C14"/>
    </sheetView>
  </sheetViews>
  <sheetFormatPr defaultRowHeight="12.75" x14ac:dyDescent="0.2"/>
  <cols>
    <col min="1" max="1" width="13" customWidth="1"/>
  </cols>
  <sheetData>
    <row r="1" spans="1:45" s="4" customFormat="1" x14ac:dyDescent="0.2">
      <c r="A1" s="4" t="s">
        <v>0</v>
      </c>
      <c r="B1" s="6" t="s">
        <v>565</v>
      </c>
      <c r="C1" s="6" t="s">
        <v>566</v>
      </c>
      <c r="D1" s="6" t="s">
        <v>567</v>
      </c>
      <c r="E1" s="6" t="s">
        <v>568</v>
      </c>
      <c r="F1" s="6" t="s">
        <v>569</v>
      </c>
      <c r="G1" s="6" t="s">
        <v>570</v>
      </c>
      <c r="H1" s="6" t="s">
        <v>571</v>
      </c>
      <c r="I1" s="6" t="s">
        <v>572</v>
      </c>
      <c r="J1" s="6" t="s">
        <v>573</v>
      </c>
      <c r="K1" s="6" t="s">
        <v>574</v>
      </c>
      <c r="L1" s="6"/>
      <c r="M1" s="6" t="s">
        <v>575</v>
      </c>
      <c r="N1" s="6" t="s">
        <v>576</v>
      </c>
      <c r="O1" s="6" t="s">
        <v>577</v>
      </c>
      <c r="P1" s="6" t="s">
        <v>578</v>
      </c>
      <c r="Q1" s="6" t="s">
        <v>579</v>
      </c>
      <c r="R1" s="6" t="s">
        <v>580</v>
      </c>
      <c r="S1" s="6" t="s">
        <v>581</v>
      </c>
      <c r="T1" s="6" t="s">
        <v>582</v>
      </c>
      <c r="U1" s="6" t="s">
        <v>583</v>
      </c>
      <c r="V1" s="6" t="s">
        <v>584</v>
      </c>
      <c r="W1" s="6"/>
      <c r="X1" s="6" t="s">
        <v>585</v>
      </c>
      <c r="Y1" s="6" t="s">
        <v>586</v>
      </c>
      <c r="Z1" s="6" t="s">
        <v>587</v>
      </c>
      <c r="AA1" s="6" t="s">
        <v>588</v>
      </c>
      <c r="AB1" s="6" t="s">
        <v>589</v>
      </c>
      <c r="AC1" s="6" t="s">
        <v>590</v>
      </c>
      <c r="AD1" s="6" t="s">
        <v>591</v>
      </c>
      <c r="AE1" s="6" t="s">
        <v>592</v>
      </c>
      <c r="AF1" s="6" t="s">
        <v>593</v>
      </c>
      <c r="AG1" s="6" t="s">
        <v>594</v>
      </c>
      <c r="AH1" s="6"/>
      <c r="AI1" s="6" t="s">
        <v>595</v>
      </c>
      <c r="AJ1" s="6" t="s">
        <v>596</v>
      </c>
      <c r="AK1" s="6" t="s">
        <v>597</v>
      </c>
      <c r="AL1" s="6" t="s">
        <v>598</v>
      </c>
      <c r="AM1" s="6" t="s">
        <v>599</v>
      </c>
      <c r="AN1" s="6" t="s">
        <v>600</v>
      </c>
      <c r="AO1" s="6" t="s">
        <v>601</v>
      </c>
      <c r="AP1" s="6" t="s">
        <v>602</v>
      </c>
      <c r="AQ1" s="6" t="s">
        <v>603</v>
      </c>
      <c r="AR1" s="6" t="s">
        <v>604</v>
      </c>
    </row>
    <row r="2" spans="1:45" s="3" customFormat="1" x14ac:dyDescent="0.2">
      <c r="A2" s="3" t="s">
        <v>1</v>
      </c>
      <c r="B2" s="3">
        <v>40</v>
      </c>
      <c r="C2" s="3">
        <v>20</v>
      </c>
      <c r="D2" s="3">
        <v>15</v>
      </c>
      <c r="E2" s="3">
        <v>10</v>
      </c>
      <c r="F2" s="3">
        <v>40</v>
      </c>
      <c r="G2" s="3">
        <v>30</v>
      </c>
      <c r="H2" s="3">
        <v>10</v>
      </c>
      <c r="I2" s="3">
        <v>25</v>
      </c>
      <c r="J2" s="3">
        <v>50</v>
      </c>
      <c r="K2" s="3">
        <v>10</v>
      </c>
      <c r="L2" s="4">
        <f t="shared" ref="L2:L8" si="0">AVERAGE(B2:K2)</f>
        <v>25</v>
      </c>
      <c r="M2" s="3">
        <v>60</v>
      </c>
      <c r="N2" s="3">
        <v>45</v>
      </c>
      <c r="O2" s="3">
        <v>0</v>
      </c>
      <c r="P2" s="3">
        <v>55</v>
      </c>
      <c r="Q2" s="3">
        <v>15</v>
      </c>
      <c r="R2" s="3">
        <v>20</v>
      </c>
      <c r="S2" s="3">
        <v>25</v>
      </c>
      <c r="T2" s="3">
        <v>35</v>
      </c>
      <c r="U2" s="3">
        <v>45</v>
      </c>
      <c r="V2" s="3">
        <v>65</v>
      </c>
      <c r="W2" s="4">
        <f t="shared" ref="W2:W8" si="1">AVERAGE(M2:V2)</f>
        <v>36.5</v>
      </c>
      <c r="X2" s="3">
        <v>5</v>
      </c>
      <c r="Y2" s="3">
        <v>10</v>
      </c>
      <c r="Z2" s="3">
        <v>25</v>
      </c>
      <c r="AA2" s="3">
        <v>10</v>
      </c>
      <c r="AB2" s="3">
        <v>15</v>
      </c>
      <c r="AC2" s="3">
        <v>40</v>
      </c>
      <c r="AD2" s="3">
        <v>55</v>
      </c>
      <c r="AE2" s="3">
        <v>15</v>
      </c>
      <c r="AF2" s="3">
        <v>15</v>
      </c>
      <c r="AG2" s="3">
        <v>15</v>
      </c>
      <c r="AH2" s="4">
        <f t="shared" ref="AH2:AH8" si="2">AVERAGE(X2:AG2)</f>
        <v>20.5</v>
      </c>
      <c r="AI2" s="3">
        <v>70</v>
      </c>
      <c r="AJ2" s="3">
        <v>15</v>
      </c>
      <c r="AK2" s="3">
        <v>5</v>
      </c>
      <c r="AL2" s="3">
        <v>70</v>
      </c>
      <c r="AM2" s="3">
        <v>10</v>
      </c>
      <c r="AN2" s="3">
        <v>55</v>
      </c>
      <c r="AO2" s="3">
        <v>10</v>
      </c>
      <c r="AP2" s="3">
        <v>25</v>
      </c>
      <c r="AQ2" s="3">
        <v>20</v>
      </c>
      <c r="AR2" s="3">
        <v>50</v>
      </c>
      <c r="AS2" s="4">
        <f t="shared" ref="AS2:AS8" si="3">AVERAGE(AI2:AR2)</f>
        <v>33</v>
      </c>
    </row>
    <row r="3" spans="1:45" s="3" customFormat="1" x14ac:dyDescent="0.2">
      <c r="A3" s="3" t="s">
        <v>2</v>
      </c>
      <c r="B3" s="3">
        <v>5</v>
      </c>
      <c r="C3" s="3">
        <v>25</v>
      </c>
      <c r="D3" s="3">
        <v>5</v>
      </c>
      <c r="E3" s="3">
        <v>5</v>
      </c>
      <c r="F3" s="3">
        <v>5</v>
      </c>
      <c r="G3" s="3">
        <v>20</v>
      </c>
      <c r="H3" s="3">
        <v>5</v>
      </c>
      <c r="I3" s="3">
        <v>5</v>
      </c>
      <c r="J3" s="3">
        <v>5</v>
      </c>
      <c r="K3" s="3">
        <v>15</v>
      </c>
      <c r="L3" s="4">
        <f t="shared" si="0"/>
        <v>9.5</v>
      </c>
      <c r="M3" s="3">
        <v>5</v>
      </c>
      <c r="N3" s="3">
        <v>5</v>
      </c>
      <c r="O3" s="3">
        <v>5</v>
      </c>
      <c r="P3" s="3">
        <v>5</v>
      </c>
      <c r="Q3" s="3">
        <v>10</v>
      </c>
      <c r="R3" s="3">
        <v>5</v>
      </c>
      <c r="S3" s="3">
        <v>15</v>
      </c>
      <c r="T3" s="3">
        <v>5</v>
      </c>
      <c r="U3" s="3">
        <v>5</v>
      </c>
      <c r="V3" s="3">
        <v>5</v>
      </c>
      <c r="W3" s="4">
        <f t="shared" si="1"/>
        <v>6.5</v>
      </c>
      <c r="X3" s="3">
        <v>15</v>
      </c>
      <c r="Y3" s="3">
        <v>5</v>
      </c>
      <c r="Z3" s="3">
        <v>35</v>
      </c>
      <c r="AA3" s="3">
        <v>15</v>
      </c>
      <c r="AB3" s="3">
        <v>25</v>
      </c>
      <c r="AC3" s="3">
        <v>15</v>
      </c>
      <c r="AD3" s="3">
        <v>5</v>
      </c>
      <c r="AE3" s="3">
        <v>20</v>
      </c>
      <c r="AF3" s="3">
        <v>15</v>
      </c>
      <c r="AG3" s="3">
        <v>20</v>
      </c>
      <c r="AH3" s="4">
        <f t="shared" si="2"/>
        <v>17</v>
      </c>
      <c r="AI3" s="3">
        <v>15</v>
      </c>
      <c r="AJ3" s="3">
        <v>5</v>
      </c>
      <c r="AK3" s="3">
        <v>0</v>
      </c>
      <c r="AL3" s="3">
        <v>5</v>
      </c>
      <c r="AM3" s="3">
        <v>50</v>
      </c>
      <c r="AN3" s="3">
        <v>10</v>
      </c>
      <c r="AO3" s="3">
        <v>5</v>
      </c>
      <c r="AP3" s="3">
        <v>40</v>
      </c>
      <c r="AQ3" s="3">
        <v>10</v>
      </c>
      <c r="AR3" s="3">
        <v>35</v>
      </c>
      <c r="AS3" s="4">
        <f t="shared" si="3"/>
        <v>17.5</v>
      </c>
    </row>
    <row r="4" spans="1:45" s="3" customFormat="1" x14ac:dyDescent="0.2">
      <c r="A4" s="3" t="s">
        <v>3</v>
      </c>
      <c r="B4" s="3">
        <v>5</v>
      </c>
      <c r="C4" s="3">
        <v>0</v>
      </c>
      <c r="D4" s="3">
        <v>0</v>
      </c>
      <c r="E4" s="3">
        <v>0</v>
      </c>
      <c r="F4" s="3">
        <v>5</v>
      </c>
      <c r="G4" s="3">
        <v>5</v>
      </c>
      <c r="H4" s="3">
        <v>0</v>
      </c>
      <c r="I4" s="3">
        <v>5</v>
      </c>
      <c r="J4" s="3">
        <v>0</v>
      </c>
      <c r="K4" s="3">
        <v>0</v>
      </c>
      <c r="L4" s="4">
        <f t="shared" si="0"/>
        <v>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4">
        <f t="shared" si="1"/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 t="shared" si="2"/>
        <v>0</v>
      </c>
      <c r="AI4" s="3">
        <v>0</v>
      </c>
      <c r="AJ4" s="3">
        <v>5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5</v>
      </c>
      <c r="AQ4" s="3">
        <v>50</v>
      </c>
      <c r="AR4" s="3">
        <v>5</v>
      </c>
      <c r="AS4" s="4">
        <f t="shared" si="3"/>
        <v>6.5</v>
      </c>
    </row>
    <row r="5" spans="1:45" s="3" customFormat="1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25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2.5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5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0.5</v>
      </c>
    </row>
    <row r="6" spans="1:45" s="3" customFormat="1" x14ac:dyDescent="0.2">
      <c r="A6" s="3" t="s">
        <v>685</v>
      </c>
      <c r="B6" s="3">
        <v>40</v>
      </c>
      <c r="C6" s="3">
        <v>40</v>
      </c>
      <c r="D6" s="3">
        <v>60</v>
      </c>
      <c r="E6" s="3">
        <v>75</v>
      </c>
      <c r="F6" s="3">
        <v>35</v>
      </c>
      <c r="G6" s="3">
        <v>15</v>
      </c>
      <c r="H6" s="3">
        <v>50</v>
      </c>
      <c r="I6" s="3">
        <v>30</v>
      </c>
      <c r="J6" s="3">
        <v>15</v>
      </c>
      <c r="K6" s="3">
        <v>50</v>
      </c>
      <c r="L6" s="4">
        <f t="shared" si="0"/>
        <v>41</v>
      </c>
      <c r="M6" s="3">
        <v>10</v>
      </c>
      <c r="N6" s="3">
        <v>40</v>
      </c>
      <c r="O6" s="3">
        <v>70</v>
      </c>
      <c r="P6" s="3">
        <v>25</v>
      </c>
      <c r="Q6" s="3">
        <v>65</v>
      </c>
      <c r="R6" s="3">
        <v>25</v>
      </c>
      <c r="S6" s="3">
        <v>50</v>
      </c>
      <c r="T6" s="3">
        <v>50</v>
      </c>
      <c r="U6" s="3">
        <v>25</v>
      </c>
      <c r="V6" s="3">
        <v>15</v>
      </c>
      <c r="W6" s="4">
        <f t="shared" si="1"/>
        <v>37.5</v>
      </c>
      <c r="X6" s="3">
        <v>55</v>
      </c>
      <c r="Y6" s="3">
        <v>65</v>
      </c>
      <c r="Z6" s="3">
        <v>25</v>
      </c>
      <c r="AA6" s="3">
        <v>45</v>
      </c>
      <c r="AB6" s="3">
        <v>45</v>
      </c>
      <c r="AC6" s="3">
        <v>20</v>
      </c>
      <c r="AD6" s="3">
        <v>30</v>
      </c>
      <c r="AE6" s="3">
        <v>45</v>
      </c>
      <c r="AF6" s="3">
        <v>35</v>
      </c>
      <c r="AG6" s="3">
        <v>35</v>
      </c>
      <c r="AH6" s="4">
        <f t="shared" si="2"/>
        <v>40</v>
      </c>
      <c r="AI6" s="3">
        <v>10</v>
      </c>
      <c r="AJ6" s="3">
        <v>65</v>
      </c>
      <c r="AK6" s="3">
        <v>85</v>
      </c>
      <c r="AL6" s="3">
        <v>25</v>
      </c>
      <c r="AM6" s="3">
        <v>25</v>
      </c>
      <c r="AN6" s="3">
        <v>5</v>
      </c>
      <c r="AO6" s="3">
        <v>80</v>
      </c>
      <c r="AP6" s="3">
        <v>20</v>
      </c>
      <c r="AQ6" s="3">
        <v>15</v>
      </c>
      <c r="AR6" s="3">
        <v>10</v>
      </c>
      <c r="AS6" s="4">
        <f t="shared" si="3"/>
        <v>34</v>
      </c>
    </row>
    <row r="7" spans="1:45" s="3" customFormat="1" x14ac:dyDescent="0.2">
      <c r="A7" s="3" t="s">
        <v>688</v>
      </c>
      <c r="B7" s="3">
        <v>5</v>
      </c>
      <c r="C7" s="3">
        <v>5</v>
      </c>
      <c r="D7" s="3">
        <v>10</v>
      </c>
      <c r="E7" s="3">
        <v>5</v>
      </c>
      <c r="F7" s="3">
        <v>10</v>
      </c>
      <c r="G7" s="3">
        <v>25</v>
      </c>
      <c r="H7" s="3">
        <v>25</v>
      </c>
      <c r="I7" s="3">
        <v>35</v>
      </c>
      <c r="J7" s="3">
        <v>25</v>
      </c>
      <c r="K7" s="3">
        <v>20</v>
      </c>
      <c r="L7" s="4">
        <f t="shared" si="0"/>
        <v>16.5</v>
      </c>
      <c r="M7" s="3">
        <v>5</v>
      </c>
      <c r="N7" s="3">
        <v>5</v>
      </c>
      <c r="O7" s="3">
        <v>15</v>
      </c>
      <c r="P7" s="3">
        <v>10</v>
      </c>
      <c r="Q7" s="3">
        <v>0</v>
      </c>
      <c r="R7" s="3">
        <v>20</v>
      </c>
      <c r="S7" s="3">
        <v>10</v>
      </c>
      <c r="T7" s="3">
        <v>5</v>
      </c>
      <c r="U7" s="3">
        <v>10</v>
      </c>
      <c r="V7" s="3">
        <v>5</v>
      </c>
      <c r="W7" s="4">
        <f t="shared" si="1"/>
        <v>8.5</v>
      </c>
      <c r="X7" s="3">
        <v>15</v>
      </c>
      <c r="Y7" s="3">
        <v>15</v>
      </c>
      <c r="Z7" s="3">
        <v>5</v>
      </c>
      <c r="AA7" s="3">
        <v>5</v>
      </c>
      <c r="AB7" s="3">
        <v>10</v>
      </c>
      <c r="AC7" s="3">
        <v>25</v>
      </c>
      <c r="AD7" s="3">
        <v>0</v>
      </c>
      <c r="AE7" s="3">
        <v>5</v>
      </c>
      <c r="AF7" s="3">
        <v>10</v>
      </c>
      <c r="AG7" s="3">
        <v>5</v>
      </c>
      <c r="AH7" s="4">
        <f t="shared" si="2"/>
        <v>9.5</v>
      </c>
      <c r="AI7" s="3">
        <v>0</v>
      </c>
      <c r="AJ7" s="3">
        <v>0</v>
      </c>
      <c r="AK7" s="3">
        <v>0</v>
      </c>
      <c r="AL7" s="3">
        <v>0</v>
      </c>
      <c r="AM7" s="3">
        <v>5</v>
      </c>
      <c r="AN7" s="3">
        <v>25</v>
      </c>
      <c r="AO7" s="3">
        <v>5</v>
      </c>
      <c r="AP7" s="3">
        <v>0</v>
      </c>
      <c r="AQ7" s="3">
        <v>5</v>
      </c>
      <c r="AR7" s="3">
        <v>0</v>
      </c>
      <c r="AS7" s="4">
        <f t="shared" si="3"/>
        <v>4</v>
      </c>
    </row>
    <row r="8" spans="1:45" s="3" customFormat="1" x14ac:dyDescent="0.2">
      <c r="A8" s="16" t="s">
        <v>690</v>
      </c>
      <c r="B8" s="16">
        <v>5</v>
      </c>
      <c r="C8" s="16">
        <v>10</v>
      </c>
      <c r="D8" s="16">
        <v>10</v>
      </c>
      <c r="E8" s="16">
        <v>5</v>
      </c>
      <c r="F8" s="16">
        <v>5</v>
      </c>
      <c r="G8" s="16">
        <v>5</v>
      </c>
      <c r="H8" s="16">
        <v>10</v>
      </c>
      <c r="I8" s="16">
        <v>0</v>
      </c>
      <c r="J8" s="16">
        <v>5</v>
      </c>
      <c r="K8" s="16">
        <v>5</v>
      </c>
      <c r="L8" s="17">
        <f t="shared" si="0"/>
        <v>6</v>
      </c>
      <c r="M8" s="16">
        <v>20</v>
      </c>
      <c r="N8" s="16">
        <v>5</v>
      </c>
      <c r="O8" s="16">
        <v>10</v>
      </c>
      <c r="P8" s="16">
        <v>5</v>
      </c>
      <c r="Q8" s="16">
        <v>10</v>
      </c>
      <c r="R8" s="16">
        <v>5</v>
      </c>
      <c r="S8" s="16">
        <v>0</v>
      </c>
      <c r="T8" s="16">
        <v>5</v>
      </c>
      <c r="U8" s="16">
        <v>15</v>
      </c>
      <c r="V8" s="16">
        <v>10</v>
      </c>
      <c r="W8" s="17">
        <f t="shared" si="1"/>
        <v>8.5</v>
      </c>
      <c r="X8" s="16">
        <v>10</v>
      </c>
      <c r="Y8" s="16">
        <v>5</v>
      </c>
      <c r="Z8" s="16">
        <v>10</v>
      </c>
      <c r="AA8" s="16">
        <v>25</v>
      </c>
      <c r="AB8" s="16">
        <v>5</v>
      </c>
      <c r="AC8" s="16">
        <v>0</v>
      </c>
      <c r="AD8" s="16">
        <v>10</v>
      </c>
      <c r="AE8" s="16">
        <v>15</v>
      </c>
      <c r="AF8" s="16">
        <v>25</v>
      </c>
      <c r="AG8" s="16">
        <v>25</v>
      </c>
      <c r="AH8" s="17">
        <f t="shared" si="2"/>
        <v>13</v>
      </c>
      <c r="AI8" s="16">
        <v>0</v>
      </c>
      <c r="AJ8" s="16">
        <v>10</v>
      </c>
      <c r="AK8" s="16">
        <v>10</v>
      </c>
      <c r="AL8" s="16">
        <v>0</v>
      </c>
      <c r="AM8" s="16">
        <v>10</v>
      </c>
      <c r="AN8" s="16">
        <v>5</v>
      </c>
      <c r="AO8" s="16">
        <v>0</v>
      </c>
      <c r="AP8" s="16">
        <v>10</v>
      </c>
      <c r="AQ8" s="16">
        <v>0</v>
      </c>
      <c r="AR8" s="16">
        <v>0</v>
      </c>
      <c r="AS8" s="17">
        <f t="shared" si="3"/>
        <v>4.5</v>
      </c>
    </row>
    <row r="9" spans="1:45" s="3" customFormat="1" x14ac:dyDescent="0.2">
      <c r="B9" s="3">
        <f t="shared" ref="B9:AS9" si="4">SUM(B2:B8)</f>
        <v>100</v>
      </c>
      <c r="C9" s="3">
        <f t="shared" si="4"/>
        <v>100</v>
      </c>
      <c r="D9" s="3">
        <f t="shared" si="4"/>
        <v>100</v>
      </c>
      <c r="E9" s="3">
        <f t="shared" si="4"/>
        <v>100</v>
      </c>
      <c r="F9" s="3">
        <f t="shared" si="4"/>
        <v>100</v>
      </c>
      <c r="G9" s="3">
        <f t="shared" si="4"/>
        <v>100</v>
      </c>
      <c r="H9" s="3">
        <f t="shared" si="4"/>
        <v>100</v>
      </c>
      <c r="I9" s="3">
        <f t="shared" si="4"/>
        <v>100</v>
      </c>
      <c r="J9" s="3">
        <f t="shared" si="4"/>
        <v>100</v>
      </c>
      <c r="K9" s="3">
        <f t="shared" si="4"/>
        <v>100</v>
      </c>
      <c r="L9" s="4">
        <f t="shared" si="4"/>
        <v>100</v>
      </c>
      <c r="M9" s="3">
        <f t="shared" si="4"/>
        <v>100</v>
      </c>
      <c r="N9" s="3">
        <f t="shared" si="4"/>
        <v>100</v>
      </c>
      <c r="O9" s="3">
        <f t="shared" si="4"/>
        <v>100</v>
      </c>
      <c r="P9" s="3">
        <f t="shared" si="4"/>
        <v>100</v>
      </c>
      <c r="Q9" s="3">
        <f t="shared" si="4"/>
        <v>100</v>
      </c>
      <c r="R9" s="3">
        <f t="shared" si="4"/>
        <v>100</v>
      </c>
      <c r="S9" s="3">
        <f t="shared" si="4"/>
        <v>100</v>
      </c>
      <c r="T9" s="3">
        <f t="shared" si="4"/>
        <v>100</v>
      </c>
      <c r="U9" s="3">
        <f t="shared" si="4"/>
        <v>100</v>
      </c>
      <c r="V9" s="3">
        <f t="shared" si="4"/>
        <v>100</v>
      </c>
      <c r="W9" s="4">
        <f t="shared" si="4"/>
        <v>100</v>
      </c>
      <c r="X9" s="3">
        <f t="shared" si="4"/>
        <v>100</v>
      </c>
      <c r="Y9" s="3">
        <f t="shared" si="4"/>
        <v>100</v>
      </c>
      <c r="Z9" s="3">
        <f t="shared" si="4"/>
        <v>100</v>
      </c>
      <c r="AA9" s="3">
        <f t="shared" si="4"/>
        <v>100</v>
      </c>
      <c r="AB9" s="3">
        <f t="shared" si="4"/>
        <v>100</v>
      </c>
      <c r="AC9" s="3">
        <f t="shared" si="4"/>
        <v>100</v>
      </c>
      <c r="AD9" s="3">
        <f t="shared" si="4"/>
        <v>100</v>
      </c>
      <c r="AE9" s="3">
        <f t="shared" si="4"/>
        <v>100</v>
      </c>
      <c r="AF9" s="3">
        <f t="shared" si="4"/>
        <v>100</v>
      </c>
      <c r="AG9" s="3">
        <f t="shared" si="4"/>
        <v>100</v>
      </c>
      <c r="AH9" s="4">
        <f t="shared" si="4"/>
        <v>100</v>
      </c>
      <c r="AI9" s="3">
        <f t="shared" si="4"/>
        <v>100</v>
      </c>
      <c r="AJ9" s="3">
        <f t="shared" si="4"/>
        <v>100</v>
      </c>
      <c r="AK9" s="3">
        <f t="shared" si="4"/>
        <v>100</v>
      </c>
      <c r="AL9" s="3">
        <f t="shared" si="4"/>
        <v>100</v>
      </c>
      <c r="AM9" s="3">
        <f t="shared" si="4"/>
        <v>100</v>
      </c>
      <c r="AN9" s="3">
        <f t="shared" si="4"/>
        <v>100</v>
      </c>
      <c r="AO9" s="3">
        <f t="shared" si="4"/>
        <v>100</v>
      </c>
      <c r="AP9" s="3">
        <f t="shared" si="4"/>
        <v>100</v>
      </c>
      <c r="AQ9" s="3">
        <f t="shared" si="4"/>
        <v>100</v>
      </c>
      <c r="AR9" s="3">
        <f t="shared" si="4"/>
        <v>100</v>
      </c>
      <c r="AS9" s="4">
        <f t="shared" si="4"/>
        <v>100</v>
      </c>
    </row>
    <row r="10" spans="1:45" s="3" customFormat="1" x14ac:dyDescent="0.2"/>
    <row r="11" spans="1:45" s="3" customFormat="1" x14ac:dyDescent="0.2"/>
    <row r="12" spans="1:45" s="3" customFormat="1" x14ac:dyDescent="0.2"/>
    <row r="13" spans="1:45" s="3" customFormat="1" x14ac:dyDescent="0.2"/>
    <row r="14" spans="1:45" s="3" customFormat="1" x14ac:dyDescent="0.2"/>
    <row r="15" spans="1:45" s="3" customFormat="1" x14ac:dyDescent="0.2"/>
    <row r="16" spans="1:45" s="3" customFormat="1" x14ac:dyDescent="0.2"/>
    <row r="17" s="3" customFormat="1" x14ac:dyDescent="0.2"/>
  </sheetData>
  <phoneticPr fontId="0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"/>
  <sheetViews>
    <sheetView zoomScale="64" zoomScaleNormal="64" workbookViewId="0">
      <pane xSplit="1" topLeftCell="B1" activePane="topRight" state="frozen"/>
      <selection activeCell="H18" sqref="H18"/>
      <selection pane="topRight" activeCell="B12" sqref="B12"/>
    </sheetView>
  </sheetViews>
  <sheetFormatPr defaultRowHeight="12.75" x14ac:dyDescent="0.2"/>
  <cols>
    <col min="1" max="1" width="12.7109375" customWidth="1"/>
  </cols>
  <sheetData>
    <row r="1" spans="1:45" s="1" customFormat="1" x14ac:dyDescent="0.2">
      <c r="A1" s="4" t="s">
        <v>0</v>
      </c>
      <c r="B1" s="6" t="s">
        <v>605</v>
      </c>
      <c r="C1" s="6" t="s">
        <v>606</v>
      </c>
      <c r="D1" s="6" t="s">
        <v>607</v>
      </c>
      <c r="E1" s="6" t="s">
        <v>608</v>
      </c>
      <c r="F1" s="6" t="s">
        <v>609</v>
      </c>
      <c r="G1" s="6" t="s">
        <v>610</v>
      </c>
      <c r="H1" s="6" t="s">
        <v>611</v>
      </c>
      <c r="I1" s="6" t="s">
        <v>612</v>
      </c>
      <c r="J1" s="6" t="s">
        <v>613</v>
      </c>
      <c r="K1" s="6" t="s">
        <v>614</v>
      </c>
      <c r="L1" s="6"/>
      <c r="M1" s="6" t="s">
        <v>615</v>
      </c>
      <c r="N1" s="6" t="s">
        <v>616</v>
      </c>
      <c r="O1" s="6" t="s">
        <v>617</v>
      </c>
      <c r="P1" s="6" t="s">
        <v>618</v>
      </c>
      <c r="Q1" s="6" t="s">
        <v>619</v>
      </c>
      <c r="R1" s="6" t="s">
        <v>620</v>
      </c>
      <c r="S1" s="6" t="s">
        <v>621</v>
      </c>
      <c r="T1" s="6" t="s">
        <v>622</v>
      </c>
      <c r="U1" s="6" t="s">
        <v>623</v>
      </c>
      <c r="V1" s="6" t="s">
        <v>624</v>
      </c>
      <c r="W1" s="6"/>
      <c r="X1" s="6" t="s">
        <v>625</v>
      </c>
      <c r="Y1" s="6" t="s">
        <v>626</v>
      </c>
      <c r="Z1" s="6" t="s">
        <v>627</v>
      </c>
      <c r="AA1" s="6" t="s">
        <v>628</v>
      </c>
      <c r="AB1" s="6" t="s">
        <v>629</v>
      </c>
      <c r="AC1" s="6" t="s">
        <v>630</v>
      </c>
      <c r="AD1" s="6" t="s">
        <v>631</v>
      </c>
      <c r="AE1" s="6" t="s">
        <v>632</v>
      </c>
      <c r="AF1" s="6" t="s">
        <v>633</v>
      </c>
      <c r="AG1" s="6" t="s">
        <v>634</v>
      </c>
      <c r="AH1" s="6"/>
      <c r="AI1" s="6" t="s">
        <v>635</v>
      </c>
      <c r="AJ1" s="6" t="s">
        <v>636</v>
      </c>
      <c r="AK1" s="6" t="s">
        <v>637</v>
      </c>
      <c r="AL1" s="6" t="s">
        <v>638</v>
      </c>
      <c r="AM1" s="6" t="s">
        <v>639</v>
      </c>
      <c r="AN1" s="6" t="s">
        <v>640</v>
      </c>
      <c r="AO1" s="6" t="s">
        <v>641</v>
      </c>
      <c r="AP1" s="6" t="s">
        <v>642</v>
      </c>
      <c r="AQ1" s="6" t="s">
        <v>643</v>
      </c>
      <c r="AR1" s="6" t="s">
        <v>644</v>
      </c>
      <c r="AS1" s="4"/>
    </row>
    <row r="2" spans="1:45" x14ac:dyDescent="0.2">
      <c r="A2" s="3" t="s">
        <v>1</v>
      </c>
      <c r="B2" s="3">
        <v>30</v>
      </c>
      <c r="C2" s="3">
        <v>45</v>
      </c>
      <c r="D2" s="3">
        <v>50</v>
      </c>
      <c r="E2" s="3">
        <v>50</v>
      </c>
      <c r="F2" s="3">
        <v>45</v>
      </c>
      <c r="G2" s="3">
        <v>50</v>
      </c>
      <c r="H2" s="3">
        <v>45</v>
      </c>
      <c r="I2" s="3">
        <v>65</v>
      </c>
      <c r="J2" s="3">
        <v>25</v>
      </c>
      <c r="K2" s="3">
        <v>15</v>
      </c>
      <c r="L2" s="4">
        <f t="shared" ref="L2:L8" si="0">AVERAGE(B2:K2)</f>
        <v>42</v>
      </c>
      <c r="M2" s="3">
        <v>50</v>
      </c>
      <c r="N2" s="3">
        <v>40</v>
      </c>
      <c r="O2" s="3">
        <v>60</v>
      </c>
      <c r="P2" s="3">
        <v>75</v>
      </c>
      <c r="Q2" s="3">
        <v>50</v>
      </c>
      <c r="R2" s="3">
        <v>65</v>
      </c>
      <c r="S2" s="3">
        <v>50</v>
      </c>
      <c r="T2" s="3">
        <v>30</v>
      </c>
      <c r="U2" s="3">
        <v>35</v>
      </c>
      <c r="V2" s="3">
        <v>45</v>
      </c>
      <c r="W2" s="4">
        <f t="shared" ref="W2:W8" si="1">AVERAGE(M2:V2)</f>
        <v>50</v>
      </c>
      <c r="X2" s="3">
        <v>35</v>
      </c>
      <c r="Y2" s="3">
        <v>50</v>
      </c>
      <c r="Z2" s="3">
        <v>30</v>
      </c>
      <c r="AA2" s="3">
        <v>50</v>
      </c>
      <c r="AB2" s="3">
        <v>25</v>
      </c>
      <c r="AC2" s="3">
        <v>30</v>
      </c>
      <c r="AD2" s="3">
        <v>55</v>
      </c>
      <c r="AE2" s="3">
        <v>20</v>
      </c>
      <c r="AF2" s="3">
        <v>30</v>
      </c>
      <c r="AG2" s="3">
        <v>15</v>
      </c>
      <c r="AH2" s="4">
        <f t="shared" ref="AH2:AH8" si="2">AVERAGE(X2:AG2)</f>
        <v>34</v>
      </c>
      <c r="AI2" s="3">
        <v>25</v>
      </c>
      <c r="AJ2" s="3">
        <v>30</v>
      </c>
      <c r="AK2" s="3">
        <v>30</v>
      </c>
      <c r="AL2" s="3">
        <v>50</v>
      </c>
      <c r="AM2" s="3">
        <v>20</v>
      </c>
      <c r="AN2" s="3">
        <v>45</v>
      </c>
      <c r="AO2" s="3">
        <v>55</v>
      </c>
      <c r="AP2" s="3">
        <v>60</v>
      </c>
      <c r="AQ2" s="3">
        <v>40</v>
      </c>
      <c r="AR2" s="3">
        <v>20</v>
      </c>
      <c r="AS2" s="4">
        <f t="shared" ref="AS2:AS8" si="3">AVERAGE(AI2:AR2)</f>
        <v>37.5</v>
      </c>
    </row>
    <row r="3" spans="1:45" x14ac:dyDescent="0.2">
      <c r="A3" s="3" t="s">
        <v>2</v>
      </c>
      <c r="B3" s="3">
        <v>5</v>
      </c>
      <c r="C3" s="3">
        <v>5</v>
      </c>
      <c r="D3" s="3">
        <v>5</v>
      </c>
      <c r="E3" s="3">
        <v>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v>10</v>
      </c>
      <c r="L3" s="4">
        <f t="shared" si="0"/>
        <v>5.5</v>
      </c>
      <c r="M3" s="3">
        <v>5</v>
      </c>
      <c r="N3" s="3">
        <v>5</v>
      </c>
      <c r="O3" s="3">
        <v>5</v>
      </c>
      <c r="P3" s="3">
        <v>0</v>
      </c>
      <c r="Q3" s="3">
        <v>5</v>
      </c>
      <c r="R3" s="3">
        <v>5</v>
      </c>
      <c r="S3" s="3">
        <v>0</v>
      </c>
      <c r="T3" s="3">
        <v>0</v>
      </c>
      <c r="U3" s="3">
        <v>45</v>
      </c>
      <c r="V3" s="3">
        <v>5</v>
      </c>
      <c r="W3" s="4">
        <f t="shared" si="1"/>
        <v>7.5</v>
      </c>
      <c r="X3" s="3">
        <v>10</v>
      </c>
      <c r="Y3" s="3">
        <v>5</v>
      </c>
      <c r="Z3" s="3">
        <v>5</v>
      </c>
      <c r="AA3" s="3">
        <v>5</v>
      </c>
      <c r="AB3" s="3">
        <v>10</v>
      </c>
      <c r="AC3" s="3">
        <v>5</v>
      </c>
      <c r="AD3" s="3">
        <v>5</v>
      </c>
      <c r="AE3" s="3">
        <v>10</v>
      </c>
      <c r="AF3" s="3">
        <v>5</v>
      </c>
      <c r="AG3" s="3">
        <v>15</v>
      </c>
      <c r="AH3" s="4">
        <f t="shared" si="2"/>
        <v>7.5</v>
      </c>
      <c r="AI3" s="3">
        <v>10</v>
      </c>
      <c r="AJ3" s="3">
        <v>10</v>
      </c>
      <c r="AK3" s="3">
        <v>10</v>
      </c>
      <c r="AL3" s="3">
        <v>5</v>
      </c>
      <c r="AM3" s="3">
        <v>5</v>
      </c>
      <c r="AN3" s="3">
        <v>10</v>
      </c>
      <c r="AO3" s="3">
        <v>5</v>
      </c>
      <c r="AP3" s="3">
        <v>10</v>
      </c>
      <c r="AQ3" s="3">
        <v>10</v>
      </c>
      <c r="AR3" s="3">
        <v>10</v>
      </c>
      <c r="AS3" s="4">
        <f t="shared" si="3"/>
        <v>8.5</v>
      </c>
    </row>
    <row r="4" spans="1:45" x14ac:dyDescent="0.2">
      <c r="A4" s="3" t="s">
        <v>3</v>
      </c>
      <c r="B4" s="3">
        <v>45</v>
      </c>
      <c r="C4" s="3">
        <v>35</v>
      </c>
      <c r="D4" s="3">
        <v>10</v>
      </c>
      <c r="E4" s="3">
        <v>15</v>
      </c>
      <c r="F4" s="3">
        <v>10</v>
      </c>
      <c r="G4" s="3">
        <v>25</v>
      </c>
      <c r="H4" s="3">
        <v>25</v>
      </c>
      <c r="I4" s="3">
        <v>5</v>
      </c>
      <c r="J4" s="3">
        <v>10</v>
      </c>
      <c r="K4" s="3">
        <v>40</v>
      </c>
      <c r="L4" s="4">
        <f t="shared" si="0"/>
        <v>22</v>
      </c>
      <c r="M4" s="3">
        <v>15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5</v>
      </c>
      <c r="U4" s="3">
        <v>0</v>
      </c>
      <c r="V4" s="3">
        <v>10</v>
      </c>
      <c r="W4" s="4">
        <f t="shared" si="1"/>
        <v>3</v>
      </c>
      <c r="X4" s="3">
        <v>30</v>
      </c>
      <c r="Y4" s="3">
        <v>25</v>
      </c>
      <c r="Z4" s="3">
        <v>40</v>
      </c>
      <c r="AA4" s="3">
        <v>30</v>
      </c>
      <c r="AB4" s="3">
        <v>45</v>
      </c>
      <c r="AC4" s="3">
        <v>35</v>
      </c>
      <c r="AD4" s="3">
        <v>15</v>
      </c>
      <c r="AE4" s="3">
        <v>50</v>
      </c>
      <c r="AF4" s="3">
        <v>25</v>
      </c>
      <c r="AG4" s="3">
        <v>30</v>
      </c>
      <c r="AH4" s="4">
        <f t="shared" si="2"/>
        <v>32.5</v>
      </c>
      <c r="AI4" s="3">
        <v>35</v>
      </c>
      <c r="AJ4" s="3">
        <v>50</v>
      </c>
      <c r="AK4" s="3">
        <v>35</v>
      </c>
      <c r="AL4" s="3">
        <v>25</v>
      </c>
      <c r="AM4" s="3">
        <v>55</v>
      </c>
      <c r="AN4" s="3">
        <v>20</v>
      </c>
      <c r="AO4" s="3">
        <v>15</v>
      </c>
      <c r="AP4" s="3">
        <v>10</v>
      </c>
      <c r="AQ4" s="3">
        <v>20</v>
      </c>
      <c r="AR4" s="3">
        <v>45</v>
      </c>
      <c r="AS4" s="4">
        <f t="shared" si="3"/>
        <v>31</v>
      </c>
    </row>
    <row r="5" spans="1:45" x14ac:dyDescent="0.2">
      <c r="A5" s="3" t="s">
        <v>686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4">
        <f t="shared" si="0"/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4">
        <f t="shared" si="1"/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 t="shared" si="2"/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4">
        <f t="shared" si="3"/>
        <v>0</v>
      </c>
    </row>
    <row r="6" spans="1:45" x14ac:dyDescent="0.2">
      <c r="A6" s="3" t="s">
        <v>685</v>
      </c>
      <c r="B6" s="3">
        <v>10</v>
      </c>
      <c r="C6" s="3">
        <v>5</v>
      </c>
      <c r="D6" s="3">
        <v>20</v>
      </c>
      <c r="E6" s="3">
        <v>0</v>
      </c>
      <c r="F6" s="3">
        <v>0</v>
      </c>
      <c r="G6" s="3">
        <v>0</v>
      </c>
      <c r="H6" s="3">
        <v>0</v>
      </c>
      <c r="I6" s="3">
        <v>5</v>
      </c>
      <c r="J6" s="3">
        <v>5</v>
      </c>
      <c r="K6" s="3">
        <v>0</v>
      </c>
      <c r="L6" s="4">
        <f t="shared" si="0"/>
        <v>4.5</v>
      </c>
      <c r="M6" s="3">
        <v>0</v>
      </c>
      <c r="N6" s="3">
        <v>15</v>
      </c>
      <c r="O6" s="3">
        <v>15</v>
      </c>
      <c r="P6" s="3">
        <v>15</v>
      </c>
      <c r="Q6" s="3">
        <v>5</v>
      </c>
      <c r="R6" s="3">
        <v>15</v>
      </c>
      <c r="S6" s="3">
        <v>10</v>
      </c>
      <c r="T6" s="3">
        <v>40</v>
      </c>
      <c r="U6" s="3">
        <v>10</v>
      </c>
      <c r="V6" s="3">
        <v>25</v>
      </c>
      <c r="W6" s="4">
        <f t="shared" si="1"/>
        <v>15</v>
      </c>
      <c r="X6" s="3">
        <v>10</v>
      </c>
      <c r="Y6" s="3">
        <v>5</v>
      </c>
      <c r="Z6" s="3">
        <v>10</v>
      </c>
      <c r="AA6" s="3">
        <v>5</v>
      </c>
      <c r="AB6" s="3">
        <v>10</v>
      </c>
      <c r="AC6" s="3">
        <v>15</v>
      </c>
      <c r="AD6" s="3">
        <v>5</v>
      </c>
      <c r="AE6" s="3">
        <v>5</v>
      </c>
      <c r="AF6" s="3">
        <v>30</v>
      </c>
      <c r="AG6" s="3">
        <v>10</v>
      </c>
      <c r="AH6" s="4">
        <f t="shared" si="2"/>
        <v>10.5</v>
      </c>
      <c r="AI6" s="3">
        <v>15</v>
      </c>
      <c r="AJ6" s="3">
        <v>5</v>
      </c>
      <c r="AK6" s="3">
        <v>10</v>
      </c>
      <c r="AL6" s="3">
        <v>15</v>
      </c>
      <c r="AM6" s="3">
        <v>15</v>
      </c>
      <c r="AN6" s="3">
        <v>15</v>
      </c>
      <c r="AO6" s="3">
        <v>20</v>
      </c>
      <c r="AP6" s="3">
        <v>15</v>
      </c>
      <c r="AQ6" s="3">
        <v>15</v>
      </c>
      <c r="AR6" s="3">
        <v>5</v>
      </c>
      <c r="AS6" s="4">
        <f t="shared" si="3"/>
        <v>13</v>
      </c>
    </row>
    <row r="7" spans="1:45" x14ac:dyDescent="0.2">
      <c r="A7" t="s">
        <v>689</v>
      </c>
      <c r="B7">
        <v>5</v>
      </c>
      <c r="C7">
        <v>5</v>
      </c>
      <c r="D7">
        <v>0</v>
      </c>
      <c r="E7">
        <v>25</v>
      </c>
      <c r="F7">
        <v>25</v>
      </c>
      <c r="G7">
        <v>15</v>
      </c>
      <c r="H7">
        <v>20</v>
      </c>
      <c r="I7">
        <v>15</v>
      </c>
      <c r="J7">
        <v>55</v>
      </c>
      <c r="K7">
        <v>15</v>
      </c>
      <c r="L7" s="4">
        <f t="shared" si="0"/>
        <v>18</v>
      </c>
      <c r="M7">
        <v>5</v>
      </c>
      <c r="N7">
        <v>5</v>
      </c>
      <c r="O7">
        <v>10</v>
      </c>
      <c r="P7">
        <v>5</v>
      </c>
      <c r="Q7">
        <v>5</v>
      </c>
      <c r="R7">
        <v>5</v>
      </c>
      <c r="S7">
        <v>15</v>
      </c>
      <c r="T7">
        <v>0</v>
      </c>
      <c r="U7">
        <v>10</v>
      </c>
      <c r="V7">
        <v>0</v>
      </c>
      <c r="W7" s="1">
        <f t="shared" si="1"/>
        <v>6</v>
      </c>
      <c r="X7">
        <v>5</v>
      </c>
      <c r="Y7">
        <v>5</v>
      </c>
      <c r="Z7">
        <v>5</v>
      </c>
      <c r="AA7">
        <v>5</v>
      </c>
      <c r="AB7">
        <v>5</v>
      </c>
      <c r="AC7">
        <v>10</v>
      </c>
      <c r="AD7">
        <v>5</v>
      </c>
      <c r="AE7">
        <v>10</v>
      </c>
      <c r="AF7">
        <v>5</v>
      </c>
      <c r="AG7">
        <v>20</v>
      </c>
      <c r="AH7" s="1">
        <f t="shared" si="2"/>
        <v>7.5</v>
      </c>
      <c r="AI7">
        <v>10</v>
      </c>
      <c r="AJ7">
        <v>5</v>
      </c>
      <c r="AK7">
        <v>10</v>
      </c>
      <c r="AL7">
        <v>5</v>
      </c>
      <c r="AM7">
        <v>5</v>
      </c>
      <c r="AN7">
        <v>10</v>
      </c>
      <c r="AO7">
        <v>5</v>
      </c>
      <c r="AP7">
        <v>5</v>
      </c>
      <c r="AQ7">
        <v>5</v>
      </c>
      <c r="AR7">
        <v>10</v>
      </c>
      <c r="AS7" s="1">
        <f t="shared" si="3"/>
        <v>7</v>
      </c>
    </row>
    <row r="8" spans="1:45" x14ac:dyDescent="0.2">
      <c r="A8" s="18" t="s">
        <v>690</v>
      </c>
      <c r="B8" s="18">
        <v>5</v>
      </c>
      <c r="C8" s="18">
        <v>5</v>
      </c>
      <c r="D8" s="18">
        <v>15</v>
      </c>
      <c r="E8" s="18">
        <v>5</v>
      </c>
      <c r="F8" s="18">
        <v>15</v>
      </c>
      <c r="G8" s="18">
        <v>5</v>
      </c>
      <c r="H8" s="18">
        <v>5</v>
      </c>
      <c r="I8" s="18">
        <v>5</v>
      </c>
      <c r="J8" s="18">
        <v>0</v>
      </c>
      <c r="K8" s="18">
        <v>20</v>
      </c>
      <c r="L8" s="17">
        <f t="shared" si="0"/>
        <v>8</v>
      </c>
      <c r="M8" s="18">
        <v>25</v>
      </c>
      <c r="N8" s="18">
        <v>35</v>
      </c>
      <c r="O8" s="18">
        <v>10</v>
      </c>
      <c r="P8" s="18">
        <v>5</v>
      </c>
      <c r="Q8" s="18">
        <v>35</v>
      </c>
      <c r="R8" s="18">
        <v>10</v>
      </c>
      <c r="S8" s="18">
        <v>25</v>
      </c>
      <c r="T8" s="18">
        <v>25</v>
      </c>
      <c r="U8" s="18">
        <v>0</v>
      </c>
      <c r="V8" s="18">
        <v>15</v>
      </c>
      <c r="W8" s="19">
        <f t="shared" si="1"/>
        <v>18.5</v>
      </c>
      <c r="X8" s="18">
        <v>10</v>
      </c>
      <c r="Y8" s="18">
        <v>10</v>
      </c>
      <c r="Z8" s="18">
        <v>10</v>
      </c>
      <c r="AA8" s="18">
        <v>5</v>
      </c>
      <c r="AB8" s="18">
        <v>5</v>
      </c>
      <c r="AC8" s="18">
        <v>5</v>
      </c>
      <c r="AD8" s="18">
        <v>15</v>
      </c>
      <c r="AE8" s="18">
        <v>5</v>
      </c>
      <c r="AF8" s="18">
        <v>5</v>
      </c>
      <c r="AG8" s="18">
        <v>10</v>
      </c>
      <c r="AH8" s="19">
        <f t="shared" si="2"/>
        <v>8</v>
      </c>
      <c r="AI8" s="18">
        <v>5</v>
      </c>
      <c r="AJ8" s="18">
        <v>0</v>
      </c>
      <c r="AK8" s="18">
        <v>5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10</v>
      </c>
      <c r="AR8" s="18">
        <v>10</v>
      </c>
      <c r="AS8" s="19">
        <f t="shared" si="3"/>
        <v>3</v>
      </c>
    </row>
    <row r="9" spans="1:45" x14ac:dyDescent="0.2">
      <c r="B9">
        <f t="shared" ref="B9:AS9" si="4">SUM(B2:B8)</f>
        <v>100</v>
      </c>
      <c r="C9">
        <f t="shared" si="4"/>
        <v>100</v>
      </c>
      <c r="D9">
        <f t="shared" si="4"/>
        <v>100</v>
      </c>
      <c r="E9">
        <f t="shared" si="4"/>
        <v>100</v>
      </c>
      <c r="F9">
        <f t="shared" si="4"/>
        <v>100</v>
      </c>
      <c r="G9">
        <f t="shared" si="4"/>
        <v>100</v>
      </c>
      <c r="H9">
        <f t="shared" si="4"/>
        <v>100</v>
      </c>
      <c r="I9">
        <f t="shared" si="4"/>
        <v>100</v>
      </c>
      <c r="J9">
        <f t="shared" si="4"/>
        <v>100</v>
      </c>
      <c r="K9">
        <f t="shared" si="4"/>
        <v>100</v>
      </c>
      <c r="L9" s="1">
        <f t="shared" si="4"/>
        <v>100</v>
      </c>
      <c r="M9">
        <f t="shared" si="4"/>
        <v>100</v>
      </c>
      <c r="N9">
        <f t="shared" si="4"/>
        <v>100</v>
      </c>
      <c r="O9">
        <f t="shared" si="4"/>
        <v>100</v>
      </c>
      <c r="P9">
        <f t="shared" si="4"/>
        <v>100</v>
      </c>
      <c r="Q9">
        <f t="shared" si="4"/>
        <v>100</v>
      </c>
      <c r="R9">
        <f t="shared" si="4"/>
        <v>100</v>
      </c>
      <c r="S9">
        <f t="shared" si="4"/>
        <v>100</v>
      </c>
      <c r="T9">
        <f t="shared" si="4"/>
        <v>100</v>
      </c>
      <c r="U9">
        <f t="shared" si="4"/>
        <v>100</v>
      </c>
      <c r="V9">
        <f t="shared" si="4"/>
        <v>100</v>
      </c>
      <c r="W9" s="1">
        <f t="shared" si="4"/>
        <v>100</v>
      </c>
      <c r="X9">
        <f t="shared" si="4"/>
        <v>100</v>
      </c>
      <c r="Y9">
        <f t="shared" si="4"/>
        <v>100</v>
      </c>
      <c r="Z9">
        <f t="shared" si="4"/>
        <v>100</v>
      </c>
      <c r="AA9">
        <f t="shared" si="4"/>
        <v>100</v>
      </c>
      <c r="AB9">
        <f t="shared" si="4"/>
        <v>100</v>
      </c>
      <c r="AC9">
        <f t="shared" si="4"/>
        <v>100</v>
      </c>
      <c r="AD9" s="2">
        <f t="shared" si="4"/>
        <v>100</v>
      </c>
      <c r="AE9">
        <f t="shared" si="4"/>
        <v>100</v>
      </c>
      <c r="AF9">
        <f t="shared" si="4"/>
        <v>100</v>
      </c>
      <c r="AG9">
        <f t="shared" si="4"/>
        <v>100</v>
      </c>
      <c r="AH9" s="1">
        <f t="shared" si="4"/>
        <v>100</v>
      </c>
      <c r="AI9">
        <f t="shared" si="4"/>
        <v>100</v>
      </c>
      <c r="AJ9">
        <f t="shared" si="4"/>
        <v>100</v>
      </c>
      <c r="AK9" s="2">
        <f t="shared" si="4"/>
        <v>100</v>
      </c>
      <c r="AL9">
        <f t="shared" si="4"/>
        <v>100</v>
      </c>
      <c r="AM9">
        <f t="shared" si="4"/>
        <v>100</v>
      </c>
      <c r="AN9">
        <f t="shared" si="4"/>
        <v>100</v>
      </c>
      <c r="AO9">
        <f t="shared" si="4"/>
        <v>100</v>
      </c>
      <c r="AP9">
        <f t="shared" si="4"/>
        <v>100</v>
      </c>
      <c r="AQ9">
        <f t="shared" si="4"/>
        <v>100</v>
      </c>
      <c r="AR9">
        <f t="shared" si="4"/>
        <v>100</v>
      </c>
      <c r="AS9" s="1">
        <f t="shared" si="4"/>
        <v>100</v>
      </c>
    </row>
  </sheetData>
  <phoneticPr fontId="0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"/>
  <sheetViews>
    <sheetView tabSelected="1" zoomScale="64" zoomScaleNormal="64" workbookViewId="0">
      <pane xSplit="1" topLeftCell="B1" activePane="topRight" state="frozen"/>
      <selection activeCell="H18" sqref="H18"/>
      <selection pane="topRight" activeCell="B8" sqref="B8"/>
    </sheetView>
  </sheetViews>
  <sheetFormatPr defaultRowHeight="12.75" x14ac:dyDescent="0.2"/>
  <cols>
    <col min="1" max="1" width="12.140625" customWidth="1"/>
  </cols>
  <sheetData>
    <row r="1" spans="1:45" s="1" customFormat="1" x14ac:dyDescent="0.2">
      <c r="A1" s="4" t="s">
        <v>0</v>
      </c>
      <c r="B1" s="6" t="s">
        <v>645</v>
      </c>
      <c r="C1" s="6" t="s">
        <v>646</v>
      </c>
      <c r="D1" s="6" t="s">
        <v>647</v>
      </c>
      <c r="E1" s="6" t="s">
        <v>648</v>
      </c>
      <c r="F1" s="6" t="s">
        <v>649</v>
      </c>
      <c r="G1" s="6" t="s">
        <v>650</v>
      </c>
      <c r="H1" s="6" t="s">
        <v>651</v>
      </c>
      <c r="I1" s="6" t="s">
        <v>652</v>
      </c>
      <c r="J1" s="6" t="s">
        <v>653</v>
      </c>
      <c r="K1" s="6" t="s">
        <v>654</v>
      </c>
      <c r="L1" s="6"/>
      <c r="M1" s="6" t="s">
        <v>655</v>
      </c>
      <c r="N1" s="6" t="s">
        <v>656</v>
      </c>
      <c r="O1" s="6" t="s">
        <v>657</v>
      </c>
      <c r="P1" s="6" t="s">
        <v>658</v>
      </c>
      <c r="Q1" s="6" t="s">
        <v>659</v>
      </c>
      <c r="R1" s="6" t="s">
        <v>660</v>
      </c>
      <c r="S1" s="6" t="s">
        <v>661</v>
      </c>
      <c r="T1" s="6" t="s">
        <v>662</v>
      </c>
      <c r="U1" s="6" t="s">
        <v>663</v>
      </c>
      <c r="V1" s="6" t="s">
        <v>664</v>
      </c>
      <c r="W1" s="6"/>
      <c r="X1" s="6" t="s">
        <v>665</v>
      </c>
      <c r="Y1" s="6" t="s">
        <v>666</v>
      </c>
      <c r="Z1" s="6" t="s">
        <v>667</v>
      </c>
      <c r="AA1" s="6" t="s">
        <v>668</v>
      </c>
      <c r="AB1" s="6" t="s">
        <v>669</v>
      </c>
      <c r="AC1" s="6" t="s">
        <v>670</v>
      </c>
      <c r="AD1" s="6" t="s">
        <v>671</v>
      </c>
      <c r="AE1" s="6" t="s">
        <v>672</v>
      </c>
      <c r="AF1" s="6" t="s">
        <v>673</v>
      </c>
      <c r="AG1" s="6" t="s">
        <v>674</v>
      </c>
      <c r="AH1" s="6"/>
      <c r="AI1" s="6" t="s">
        <v>675</v>
      </c>
      <c r="AJ1" s="6" t="s">
        <v>676</v>
      </c>
      <c r="AK1" s="6" t="s">
        <v>677</v>
      </c>
      <c r="AL1" s="6" t="s">
        <v>678</v>
      </c>
      <c r="AM1" s="6" t="s">
        <v>679</v>
      </c>
      <c r="AN1" s="6" t="s">
        <v>680</v>
      </c>
      <c r="AO1" s="6" t="s">
        <v>681</v>
      </c>
      <c r="AP1" s="6" t="s">
        <v>682</v>
      </c>
      <c r="AQ1" s="6" t="s">
        <v>683</v>
      </c>
      <c r="AR1" s="6" t="s">
        <v>684</v>
      </c>
      <c r="AS1" s="4"/>
    </row>
    <row r="2" spans="1:45" x14ac:dyDescent="0.2">
      <c r="A2" s="3" t="s">
        <v>1</v>
      </c>
      <c r="B2" s="3">
        <v>10</v>
      </c>
      <c r="C2" s="3">
        <v>20</v>
      </c>
      <c r="D2" s="3">
        <v>60</v>
      </c>
      <c r="E2" s="3">
        <v>50</v>
      </c>
      <c r="F2" s="3">
        <v>25</v>
      </c>
      <c r="G2" s="3">
        <v>20</v>
      </c>
      <c r="H2" s="3">
        <v>40</v>
      </c>
      <c r="I2" s="3">
        <v>35</v>
      </c>
      <c r="J2" s="3">
        <v>25</v>
      </c>
      <c r="K2" s="3">
        <v>20</v>
      </c>
      <c r="L2" s="4">
        <f>AVERAGE(B2:K2)</f>
        <v>30.5</v>
      </c>
      <c r="M2" s="3">
        <v>30</v>
      </c>
      <c r="N2" s="3">
        <v>25</v>
      </c>
      <c r="O2" s="3">
        <v>20</v>
      </c>
      <c r="P2" s="3">
        <v>15</v>
      </c>
      <c r="Q2" s="3">
        <v>15</v>
      </c>
      <c r="R2" s="3">
        <v>20</v>
      </c>
      <c r="S2" s="3">
        <v>15</v>
      </c>
      <c r="T2" s="3">
        <v>20</v>
      </c>
      <c r="U2" s="3">
        <v>65</v>
      </c>
      <c r="V2" s="3">
        <v>15</v>
      </c>
      <c r="W2" s="4">
        <f>AVERAGE(M2:V2)</f>
        <v>24</v>
      </c>
      <c r="X2" s="3">
        <v>15</v>
      </c>
      <c r="Y2" s="3">
        <v>70</v>
      </c>
      <c r="Z2" s="3">
        <v>40</v>
      </c>
      <c r="AA2" s="3">
        <v>35</v>
      </c>
      <c r="AB2" s="3">
        <v>20</v>
      </c>
      <c r="AC2" s="3">
        <v>20</v>
      </c>
      <c r="AD2" s="3">
        <v>35</v>
      </c>
      <c r="AE2" s="3">
        <v>20</v>
      </c>
      <c r="AF2" s="3">
        <v>65</v>
      </c>
      <c r="AG2" s="3">
        <v>20</v>
      </c>
      <c r="AH2" s="4">
        <f>AVERAGE(X2:AG2)</f>
        <v>34</v>
      </c>
      <c r="AI2" s="3">
        <v>45</v>
      </c>
      <c r="AJ2" s="3">
        <v>15</v>
      </c>
      <c r="AK2" s="3">
        <v>10</v>
      </c>
      <c r="AL2" s="3">
        <v>10</v>
      </c>
      <c r="AM2" s="3">
        <v>10</v>
      </c>
      <c r="AN2" s="3">
        <v>15</v>
      </c>
      <c r="AO2" s="3">
        <v>15</v>
      </c>
      <c r="AP2" s="3">
        <v>15</v>
      </c>
      <c r="AQ2" s="3">
        <v>10</v>
      </c>
      <c r="AR2" s="3">
        <v>20</v>
      </c>
      <c r="AS2" s="4">
        <f>AVERAGE(AI2:AR2)</f>
        <v>16.5</v>
      </c>
    </row>
    <row r="3" spans="1:45" x14ac:dyDescent="0.2">
      <c r="A3" s="3" t="s">
        <v>2</v>
      </c>
      <c r="B3" s="3">
        <v>5</v>
      </c>
      <c r="C3" s="3">
        <v>10</v>
      </c>
      <c r="D3" s="3">
        <v>25</v>
      </c>
      <c r="E3" s="3">
        <v>20</v>
      </c>
      <c r="F3" s="3">
        <v>15</v>
      </c>
      <c r="G3" s="3">
        <v>10</v>
      </c>
      <c r="H3" s="3">
        <v>5</v>
      </c>
      <c r="I3" s="3">
        <v>10</v>
      </c>
      <c r="J3" s="3">
        <v>5</v>
      </c>
      <c r="K3" s="3">
        <v>10</v>
      </c>
      <c r="L3" s="4">
        <f t="shared" ref="L3:L5" si="0">AVERAGE(B3:K3)</f>
        <v>11.5</v>
      </c>
      <c r="M3" s="3">
        <v>15</v>
      </c>
      <c r="N3" s="3">
        <v>15</v>
      </c>
      <c r="O3" s="3">
        <v>20</v>
      </c>
      <c r="P3" s="3">
        <v>10</v>
      </c>
      <c r="Q3" s="3">
        <v>15</v>
      </c>
      <c r="R3" s="3">
        <v>25</v>
      </c>
      <c r="S3" s="3">
        <v>10</v>
      </c>
      <c r="T3" s="3">
        <v>10</v>
      </c>
      <c r="U3" s="3">
        <v>10</v>
      </c>
      <c r="V3" s="3">
        <v>40</v>
      </c>
      <c r="W3" s="4">
        <f>AVERAGE(M3:V3)</f>
        <v>17</v>
      </c>
      <c r="X3" s="3">
        <v>20</v>
      </c>
      <c r="Y3" s="3">
        <v>5</v>
      </c>
      <c r="Z3" s="3">
        <v>15</v>
      </c>
      <c r="AA3" s="3">
        <v>15</v>
      </c>
      <c r="AB3" s="3">
        <v>15</v>
      </c>
      <c r="AC3" s="3">
        <v>15</v>
      </c>
      <c r="AD3" s="3">
        <v>25</v>
      </c>
      <c r="AE3" s="3">
        <v>10</v>
      </c>
      <c r="AF3" s="3">
        <v>10</v>
      </c>
      <c r="AG3" s="3">
        <v>10</v>
      </c>
      <c r="AH3" s="4">
        <f>AVERAGE(X3:AG3)</f>
        <v>14</v>
      </c>
      <c r="AI3" s="3">
        <v>10</v>
      </c>
      <c r="AJ3" s="3">
        <v>5</v>
      </c>
      <c r="AK3" s="3">
        <v>20</v>
      </c>
      <c r="AL3" s="3">
        <v>30</v>
      </c>
      <c r="AM3" s="3">
        <v>20</v>
      </c>
      <c r="AN3" s="3">
        <v>15</v>
      </c>
      <c r="AO3" s="3">
        <v>35</v>
      </c>
      <c r="AP3" s="3">
        <v>20</v>
      </c>
      <c r="AQ3" s="3">
        <v>10</v>
      </c>
      <c r="AR3" s="3">
        <v>10</v>
      </c>
      <c r="AS3" s="4">
        <f>AVERAGE(AI3:AR3)</f>
        <v>17.5</v>
      </c>
    </row>
    <row r="4" spans="1:45" x14ac:dyDescent="0.2">
      <c r="A4" s="3" t="s">
        <v>3</v>
      </c>
      <c r="B4" s="3">
        <v>75</v>
      </c>
      <c r="C4" s="3">
        <v>70</v>
      </c>
      <c r="D4" s="3">
        <v>15</v>
      </c>
      <c r="E4" s="3">
        <v>5</v>
      </c>
      <c r="F4" s="3">
        <v>45</v>
      </c>
      <c r="G4" s="3">
        <v>55</v>
      </c>
      <c r="H4" s="3">
        <v>45</v>
      </c>
      <c r="I4" s="3">
        <v>35</v>
      </c>
      <c r="J4" s="3">
        <v>70</v>
      </c>
      <c r="K4" s="3">
        <v>65</v>
      </c>
      <c r="L4" s="4">
        <f t="shared" si="0"/>
        <v>48</v>
      </c>
      <c r="M4" s="3">
        <v>40</v>
      </c>
      <c r="N4" s="3">
        <v>60</v>
      </c>
      <c r="O4" s="3">
        <v>60</v>
      </c>
      <c r="P4" s="3">
        <v>75</v>
      </c>
      <c r="Q4" s="3">
        <v>40</v>
      </c>
      <c r="R4" s="3">
        <v>40</v>
      </c>
      <c r="S4" s="3">
        <v>55</v>
      </c>
      <c r="T4" s="3">
        <v>65</v>
      </c>
      <c r="U4" s="3">
        <v>15</v>
      </c>
      <c r="V4" s="3">
        <v>35</v>
      </c>
      <c r="W4" s="4">
        <f>AVERAGE(M4:V4)</f>
        <v>48.5</v>
      </c>
      <c r="X4" s="3">
        <v>60</v>
      </c>
      <c r="Y4" s="3">
        <v>10</v>
      </c>
      <c r="Z4" s="3">
        <v>30</v>
      </c>
      <c r="AA4" s="3">
        <v>45</v>
      </c>
      <c r="AB4" s="3">
        <v>65</v>
      </c>
      <c r="AC4" s="3">
        <v>50</v>
      </c>
      <c r="AD4" s="3">
        <v>35</v>
      </c>
      <c r="AE4" s="3">
        <v>70</v>
      </c>
      <c r="AF4" s="3">
        <v>20</v>
      </c>
      <c r="AG4" s="3">
        <v>35</v>
      </c>
      <c r="AH4" s="4">
        <f>AVERAGE(X4:AG4)</f>
        <v>42</v>
      </c>
      <c r="AI4" s="3">
        <v>35</v>
      </c>
      <c r="AJ4" s="3">
        <v>70</v>
      </c>
      <c r="AK4" s="3">
        <v>65</v>
      </c>
      <c r="AL4" s="3">
        <v>60</v>
      </c>
      <c r="AM4" s="3">
        <v>50</v>
      </c>
      <c r="AN4" s="3">
        <v>65</v>
      </c>
      <c r="AO4" s="3">
        <v>50</v>
      </c>
      <c r="AP4" s="3">
        <v>65</v>
      </c>
      <c r="AQ4" s="3">
        <v>55</v>
      </c>
      <c r="AR4" s="3">
        <v>50</v>
      </c>
      <c r="AS4" s="4">
        <f>AVERAGE(AI4:AR4)</f>
        <v>56.5</v>
      </c>
    </row>
    <row r="5" spans="1:45" x14ac:dyDescent="0.2">
      <c r="A5" s="16" t="s">
        <v>687</v>
      </c>
      <c r="B5" s="16">
        <v>10</v>
      </c>
      <c r="C5" s="16">
        <v>0</v>
      </c>
      <c r="D5" s="16">
        <v>0</v>
      </c>
      <c r="E5" s="16">
        <v>25</v>
      </c>
      <c r="F5" s="16">
        <v>15</v>
      </c>
      <c r="G5" s="16">
        <v>15</v>
      </c>
      <c r="H5" s="16">
        <v>10</v>
      </c>
      <c r="I5" s="16">
        <v>20</v>
      </c>
      <c r="J5" s="16">
        <v>0</v>
      </c>
      <c r="K5" s="16">
        <v>5</v>
      </c>
      <c r="L5" s="17">
        <f t="shared" si="0"/>
        <v>10</v>
      </c>
      <c r="M5" s="16">
        <v>15</v>
      </c>
      <c r="N5" s="16">
        <v>0</v>
      </c>
      <c r="O5" s="16">
        <v>0</v>
      </c>
      <c r="P5" s="16">
        <v>0</v>
      </c>
      <c r="Q5" s="16">
        <v>30</v>
      </c>
      <c r="R5" s="16">
        <v>15</v>
      </c>
      <c r="S5" s="16">
        <v>20</v>
      </c>
      <c r="T5" s="16">
        <v>5</v>
      </c>
      <c r="U5" s="16">
        <v>10</v>
      </c>
      <c r="V5" s="16">
        <v>10</v>
      </c>
      <c r="W5" s="17">
        <f>AVERAGE(M5:V5)</f>
        <v>10.5</v>
      </c>
      <c r="X5" s="16">
        <v>5</v>
      </c>
      <c r="Y5" s="16">
        <v>15</v>
      </c>
      <c r="Z5" s="16">
        <v>15</v>
      </c>
      <c r="AA5" s="16">
        <v>5</v>
      </c>
      <c r="AB5" s="16">
        <v>0</v>
      </c>
      <c r="AC5" s="16">
        <v>15</v>
      </c>
      <c r="AD5" s="16">
        <v>5</v>
      </c>
      <c r="AE5" s="16">
        <v>0</v>
      </c>
      <c r="AF5" s="16">
        <v>5</v>
      </c>
      <c r="AG5" s="16">
        <v>35</v>
      </c>
      <c r="AH5" s="17">
        <f>AVERAGE(X5:AG5)</f>
        <v>10</v>
      </c>
      <c r="AI5" s="16">
        <v>10</v>
      </c>
      <c r="AJ5" s="16">
        <v>10</v>
      </c>
      <c r="AK5" s="16">
        <v>5</v>
      </c>
      <c r="AL5" s="16">
        <v>0</v>
      </c>
      <c r="AM5" s="16">
        <v>20</v>
      </c>
      <c r="AN5" s="16">
        <v>5</v>
      </c>
      <c r="AO5" s="16">
        <v>0</v>
      </c>
      <c r="AP5" s="16">
        <v>0</v>
      </c>
      <c r="AQ5" s="16">
        <v>25</v>
      </c>
      <c r="AR5" s="16">
        <v>20</v>
      </c>
      <c r="AS5" s="17">
        <f>AVERAGE(AI5:AR5)</f>
        <v>9.5</v>
      </c>
    </row>
    <row r="6" spans="1:45" x14ac:dyDescent="0.2">
      <c r="A6" s="3"/>
      <c r="B6" s="3">
        <f t="shared" ref="B6:AS6" si="1">SUM(B2:B5)</f>
        <v>100</v>
      </c>
      <c r="C6" s="3">
        <f t="shared" si="1"/>
        <v>100</v>
      </c>
      <c r="D6" s="3">
        <f t="shared" si="1"/>
        <v>100</v>
      </c>
      <c r="E6" s="3">
        <f t="shared" si="1"/>
        <v>100</v>
      </c>
      <c r="F6" s="3">
        <f t="shared" si="1"/>
        <v>100</v>
      </c>
      <c r="G6" s="5">
        <f t="shared" si="1"/>
        <v>100</v>
      </c>
      <c r="H6" s="3">
        <f t="shared" si="1"/>
        <v>100</v>
      </c>
      <c r="I6" s="3">
        <f t="shared" si="1"/>
        <v>100</v>
      </c>
      <c r="J6" s="3">
        <f t="shared" si="1"/>
        <v>100</v>
      </c>
      <c r="K6" s="3">
        <f t="shared" si="1"/>
        <v>100</v>
      </c>
      <c r="L6" s="4">
        <f t="shared" si="1"/>
        <v>100</v>
      </c>
      <c r="M6" s="3">
        <f t="shared" si="1"/>
        <v>100</v>
      </c>
      <c r="N6" s="3">
        <f t="shared" si="1"/>
        <v>100</v>
      </c>
      <c r="O6" s="3">
        <f t="shared" si="1"/>
        <v>100</v>
      </c>
      <c r="P6" s="3">
        <f t="shared" si="1"/>
        <v>100</v>
      </c>
      <c r="Q6" s="3">
        <f t="shared" si="1"/>
        <v>100</v>
      </c>
      <c r="R6" s="3">
        <f t="shared" si="1"/>
        <v>100</v>
      </c>
      <c r="S6" s="3">
        <f t="shared" si="1"/>
        <v>100</v>
      </c>
      <c r="T6" s="3">
        <f t="shared" si="1"/>
        <v>100</v>
      </c>
      <c r="U6" s="3">
        <f t="shared" si="1"/>
        <v>100</v>
      </c>
      <c r="V6" s="3">
        <f t="shared" si="1"/>
        <v>100</v>
      </c>
      <c r="W6" s="4">
        <f t="shared" si="1"/>
        <v>100</v>
      </c>
      <c r="X6" s="3">
        <f t="shared" si="1"/>
        <v>100</v>
      </c>
      <c r="Y6" s="3">
        <f t="shared" si="1"/>
        <v>100</v>
      </c>
      <c r="Z6" s="3">
        <f t="shared" si="1"/>
        <v>100</v>
      </c>
      <c r="AA6" s="3">
        <f t="shared" si="1"/>
        <v>100</v>
      </c>
      <c r="AB6" s="3">
        <f t="shared" si="1"/>
        <v>100</v>
      </c>
      <c r="AC6" s="3">
        <f t="shared" si="1"/>
        <v>100</v>
      </c>
      <c r="AD6" s="3">
        <f t="shared" si="1"/>
        <v>100</v>
      </c>
      <c r="AE6" s="3">
        <f t="shared" si="1"/>
        <v>100</v>
      </c>
      <c r="AF6" s="3">
        <f t="shared" si="1"/>
        <v>100</v>
      </c>
      <c r="AG6" s="3">
        <f t="shared" si="1"/>
        <v>100</v>
      </c>
      <c r="AH6" s="4">
        <f t="shared" si="1"/>
        <v>100</v>
      </c>
      <c r="AI6" s="3">
        <f t="shared" si="1"/>
        <v>100</v>
      </c>
      <c r="AJ6" s="3">
        <f t="shared" si="1"/>
        <v>100</v>
      </c>
      <c r="AK6" s="3">
        <f t="shared" si="1"/>
        <v>100</v>
      </c>
      <c r="AL6" s="3">
        <f t="shared" si="1"/>
        <v>100</v>
      </c>
      <c r="AM6" s="3">
        <f t="shared" si="1"/>
        <v>100</v>
      </c>
      <c r="AN6" s="3">
        <f t="shared" si="1"/>
        <v>100</v>
      </c>
      <c r="AO6" s="3">
        <f t="shared" si="1"/>
        <v>100</v>
      </c>
      <c r="AP6" s="3">
        <f t="shared" si="1"/>
        <v>100</v>
      </c>
      <c r="AQ6" s="3">
        <f t="shared" si="1"/>
        <v>100</v>
      </c>
      <c r="AR6" s="3">
        <f t="shared" si="1"/>
        <v>100</v>
      </c>
      <c r="AS6" s="4">
        <f t="shared" si="1"/>
        <v>100</v>
      </c>
    </row>
    <row r="7" spans="1:45" x14ac:dyDescent="0.2">
      <c r="L7" s="4"/>
    </row>
    <row r="8" spans="1:45" x14ac:dyDescent="0.2">
      <c r="L8" s="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Doc_x0020_Title xmlns="42BDF8A4-9001-43BC-AEDC-D2C299A33627" xsi:nil="true"/>
    <Acc_x0020_Official xmlns="42BDF8A4-9001-43BC-AEDC-D2C299A3362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8BD420190BC43AEDCD2C299A33627" ma:contentTypeVersion="0" ma:contentTypeDescription="Create a new document." ma:contentTypeScope="" ma:versionID="0611eadb7ea18664d449ae7d46067d64">
  <xsd:schema xmlns:xsd="http://www.w3.org/2001/XMLSchema" xmlns:p="http://schemas.microsoft.com/office/2006/metadata/properties" xmlns:ns2="42BDF8A4-9001-43BC-AEDC-D2C299A33627" targetNamespace="http://schemas.microsoft.com/office/2006/metadata/properties" ma:root="true" ma:fieldsID="a986cdc1bce01915eb790480d76378b1" ns2:_="">
    <xsd:import namespace="42BDF8A4-9001-43BC-AEDC-D2C299A33627"/>
    <xsd:element name="properties">
      <xsd:complexType>
        <xsd:sequence>
          <xsd:element name="documentManagement">
            <xsd:complexType>
              <xsd:all>
                <xsd:element ref="ns2:Doc_x0020_Title" minOccurs="0"/>
                <xsd:element ref="ns2:Acc_x0020_Official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42BDF8A4-9001-43BC-AEDC-D2C299A33627" elementFormDefault="qualified">
    <xsd:import namespace="http://schemas.microsoft.com/office/2006/documentManagement/types"/>
    <xsd:element name="Doc_x0020_Title" ma:index="8" nillable="true" ma:displayName="Doc Title" ma:default="" ma:description="Official Title of Document" ma:internalName="Doc_x0020_Title">
      <xsd:simpleType>
        <xsd:restriction base="dms:Text">
          <xsd:maxLength value="255"/>
        </xsd:restriction>
      </xsd:simpleType>
    </xsd:element>
    <xsd:element name="Acc_x0020_Official" ma:index="9" nillable="true" ma:displayName="Acc Official" ma:default="" ma:description="Title &amp; Name of Accountable Official" ma:internalName="Acc_x0020_Official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88BDAA-1248-4886-AE9D-7BCBDD9962BE}">
  <ds:schemaRefs>
    <ds:schemaRef ds:uri="http://www.w3.org/XML/1998/namespace"/>
    <ds:schemaRef ds:uri="http://schemas.openxmlformats.org/package/2006/metadata/core-properties"/>
    <ds:schemaRef ds:uri="42BDF8A4-9001-43BC-AEDC-D2C299A33627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37D94A8-2021-4736-BB52-B3415F3797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BDF8A4-9001-43BC-AEDC-D2C299A3362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091CBF07-62E5-425C-BA24-D84E5AEFCE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METADATA</vt:lpstr>
      <vt:lpstr>Lambert's Bay</vt:lpstr>
      <vt:lpstr>200 m</vt:lpstr>
      <vt:lpstr>300 m</vt:lpstr>
      <vt:lpstr>500 m</vt:lpstr>
      <vt:lpstr>700 m</vt:lpstr>
      <vt:lpstr>900 m</vt:lpstr>
      <vt:lpstr>1100 m</vt:lpstr>
      <vt:lpstr>1300 m</vt:lpstr>
      <vt:lpstr>1500 m</vt:lpstr>
      <vt:lpstr>1700 m</vt:lpstr>
      <vt:lpstr>Sneeukop</vt:lpstr>
      <vt:lpstr>1700 m east</vt:lpstr>
      <vt:lpstr>1500 m east</vt:lpstr>
      <vt:lpstr>1300 m east</vt:lpstr>
      <vt:lpstr>1100 m east</vt:lpstr>
      <vt:lpstr>900 m east</vt:lpstr>
      <vt:lpstr>Wupperthal</vt:lpstr>
    </vt:vector>
  </TitlesOfParts>
  <Company>Stellenbosch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abotes</dc:creator>
  <cp:lastModifiedBy>setup</cp:lastModifiedBy>
  <dcterms:created xsi:type="dcterms:W3CDTF">2003-03-17T09:35:18Z</dcterms:created>
  <dcterms:modified xsi:type="dcterms:W3CDTF">2012-06-27T15:10:43Z</dcterms:modified>
</cp:coreProperties>
</file>